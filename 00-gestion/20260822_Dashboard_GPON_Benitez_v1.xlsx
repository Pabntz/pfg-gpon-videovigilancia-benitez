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nfig" sheetId="2" r:id="rId5"/>
    <sheet state="visible" name="Cronograma" sheetId="3" r:id="rId6"/>
    <sheet state="visible" name="KPIs" sheetId="4" r:id="rId7"/>
    <sheet state="visible" name="Riesgos" sheetId="5" r:id="rId8"/>
    <sheet state="visible" name="Presupuesto" sheetId="6" r:id="rId9"/>
    <sheet state="visible" name="Alertas" sheetId="7" r:id="rId10"/>
  </sheets>
  <definedNames/>
  <calcPr/>
  <extLst>
    <ext uri="GoogleSheetsCustomDataVersion2">
      <go:sheetsCustomData xmlns:go="http://customooxmlschemas.google.com/" r:id="rId11" roundtripDataChecksum="d3pbZsFw+g2yLlnOnXI1+xnstmQF0Xm3e5sHDMBZfE8="/>
    </ext>
  </extLst>
</workbook>
</file>

<file path=xl/sharedStrings.xml><?xml version="1.0" encoding="utf-8"?>
<sst xmlns="http://schemas.openxmlformats.org/spreadsheetml/2006/main" count="400" uniqueCount="313">
  <si>
    <t>DASHBOARD DE TESIS — RED GPON PARA VIDEOVIGILANCIA URBANA</t>
  </si>
  <si>
    <t>Planificación de implementación GPON · Bernardo de Irigoyen, Misiones, Argentina</t>
  </si>
  <si>
    <t>AVANCE GLOBAL</t>
  </si>
  <si>
    <t>RIESGOS ROJOS</t>
  </si>
  <si>
    <t>EJEC. INFRAEST.</t>
  </si>
  <si>
    <t>ESFUERZO ACADÉMICO</t>
  </si>
  <si>
    <t>ALERTAS ABIERTAS</t>
  </si>
  <si>
    <t>"0%"</t>
  </si>
  <si>
    <t>promedio de fases</t>
  </si>
  <si>
    <t>activos</t>
  </si>
  <si>
    <t>USD 0 ejecutado</t>
  </si>
  <si>
    <t>70h / 360h × USD 8</t>
  </si>
  <si>
    <t>abiertas + en curso</t>
  </si>
  <si>
    <t xml:space="preserve">  📅  CRONOGRAMA — AVANCE POR FASE</t>
  </si>
  <si>
    <t xml:space="preserve">  🚦  SEMÁFORO DE RIESGOS</t>
  </si>
  <si>
    <t>FASE</t>
  </si>
  <si>
    <t>AVANCE</t>
  </si>
  <si>
    <t>ESTADO</t>
  </si>
  <si>
    <t>🔴  RIESGOS ROJOS</t>
  </si>
  <si>
    <t>Inicio y alcance</t>
  </si>
  <si>
    <t>Rev. bibliográfica</t>
  </si>
  <si>
    <t>Relevamiento/req.</t>
  </si>
  <si>
    <t>🟡  RIESGOS AMARILLOS</t>
  </si>
  <si>
    <t>Diseño técnico GPON</t>
  </si>
  <si>
    <t>Análisis financiero</t>
  </si>
  <si>
    <t>Gestión/riesgos/dashboard</t>
  </si>
  <si>
    <t>🟢  RIESGOS VERDES</t>
  </si>
  <si>
    <t>Redacción y defensa</t>
  </si>
  <si>
    <t xml:space="preserve">  💰  PRESUPUESTO ESTIMADO vs EJECUTADO REAL</t>
  </si>
  <si>
    <t xml:space="preserve">  📈  KPIs — CUMPLIMIENTO NORMALIZADO</t>
  </si>
  <si>
    <t>CONCEPTO</t>
  </si>
  <si>
    <t>ESTIMADO</t>
  </si>
  <si>
    <t>EJECUTADO</t>
  </si>
  <si>
    <t>KPI</t>
  </si>
  <si>
    <t>CUMPLIMIENTO</t>
  </si>
  <si>
    <t>CAPEX infraestructura</t>
  </si>
  <si>
    <t>KPI-01 Redacción</t>
  </si>
  <si>
    <t>OPEX Año 1</t>
  </si>
  <si>
    <t>KPI-02 Cronograma</t>
  </si>
  <si>
    <t>Esfuerzo académico</t>
  </si>
  <si>
    <t>KPI-04 Valid. técnica</t>
  </si>
  <si>
    <t>Nec. presup. 5 años</t>
  </si>
  <si>
    <t>KPI-05 An. financiero</t>
  </si>
  <si>
    <t>KPI-06 Consignas</t>
  </si>
  <si>
    <t>CAPEX estimado</t>
  </si>
  <si>
    <t>Benef. Soc. Año 1</t>
  </si>
  <si>
    <t>VAN socioeconómico</t>
  </si>
  <si>
    <t>VAN estatal</t>
  </si>
  <si>
    <t>KPI-03 Riesgos crít.</t>
  </si>
  <si>
    <t>KPI-07 Coherencia</t>
  </si>
  <si>
    <t xml:space="preserve">  ⚠️  ALERTAS Y CUELLOS DE BOTELLA</t>
  </si>
  <si>
    <t>ALERTA</t>
  </si>
  <si>
    <t>SEV.</t>
  </si>
  <si>
    <t>ORIGEN</t>
  </si>
  <si>
    <t>ACCIÓN REQUERIDA</t>
  </si>
  <si>
    <t>RESP.</t>
  </si>
  <si>
    <t>Validar permisos postación EMSA/TVC5</t>
  </si>
  <si>
    <t>Alta</t>
  </si>
  <si>
    <t>R3</t>
  </si>
  <si>
    <t>Solicitar respuesta formal y rutas alt.</t>
  </si>
  <si>
    <t>Municipio</t>
  </si>
  <si>
    <t>Abierta</t>
  </si>
  <si>
    <t>Confirmar stock OLT/switches</t>
  </si>
  <si>
    <t>R1</t>
  </si>
  <si>
    <t>Cotizar con al menos dos vendors</t>
  </si>
  <si>
    <t>Área técn.</t>
  </si>
  <si>
    <t>Auditar coherencia CAPEX/VAN docs</t>
  </si>
  <si>
    <t>Media</t>
  </si>
  <si>
    <t>R10</t>
  </si>
  <si>
    <t>Congelar versión y revisar valores</t>
  </si>
  <si>
    <t>Tesista</t>
  </si>
  <si>
    <t>Cerrar diseño GPON (ruta crítica)</t>
  </si>
  <si>
    <t>Ruta crit.</t>
  </si>
  <si>
    <t>Validar topología y mem. técnica</t>
  </si>
  <si>
    <t>En curso</t>
  </si>
  <si>
    <t>Actualizar progreso semanal Gantt</t>
  </si>
  <si>
    <t>Dashboard</t>
  </si>
  <si>
    <t>Registrar avance por fase</t>
  </si>
  <si>
    <t>Proyecto: Planificación GPON Videovigilancia Urbana · Bernardo de Irigoyen, Misiones · Actualizar datos en hojas fuente</t>
  </si>
  <si>
    <t>Parámetro</t>
  </si>
  <si>
    <t>Valor</t>
  </si>
  <si>
    <t>Descripción</t>
  </si>
  <si>
    <t>Uso</t>
  </si>
  <si>
    <t>Fecha inicio</t>
  </si>
  <si>
    <t>02/03/2026</t>
  </si>
  <si>
    <t>Inicio académico estimado</t>
  </si>
  <si>
    <t>Cronograma</t>
  </si>
  <si>
    <t>Fecha defensa</t>
  </si>
  <si>
    <t>30/11/2026</t>
  </si>
  <si>
    <t>Defensa final de tesis</t>
  </si>
  <si>
    <t>CAPEX</t>
  </si>
  <si>
    <t>Inversión inicial infraestructura GPON</t>
  </si>
  <si>
    <t>Presupuesto</t>
  </si>
  <si>
    <t>Operación y mantenimiento año 1</t>
  </si>
  <si>
    <t>VAN Social</t>
  </si>
  <si>
    <t>Escenario con recupero por beneficios</t>
  </si>
  <si>
    <t>Finanzas</t>
  </si>
  <si>
    <t>VAN Estatal</t>
  </si>
  <si>
    <t>Proyecto estatal asumido a pérdida</t>
  </si>
  <si>
    <t>Disponibilidad objetivo</t>
  </si>
  <si>
    <t>99%</t>
  </si>
  <si>
    <t>Nivel mínimo esperado</t>
  </si>
  <si>
    <t>KPI técnico</t>
  </si>
  <si>
    <t>Latencia máxima</t>
  </si>
  <si>
    <t>100 ms</t>
  </si>
  <si>
    <t>Latencia máxima tolerable</t>
  </si>
  <si>
    <t>Horas planificadas tesista</t>
  </si>
  <si>
    <t>Total horas académicas planificadas</t>
  </si>
  <si>
    <t>Esfuerzo</t>
  </si>
  <si>
    <t>Horas ejecutadas actuales</t>
  </si>
  <si>
    <t>Horas de trabajo académico actuales</t>
  </si>
  <si>
    <t>Tarifa académica USD/h</t>
  </si>
  <si>
    <t>Valorización estimada por hora</t>
  </si>
  <si>
    <t>Costo académico planificado</t>
  </si>
  <si>
    <t>360 h × USD 8/h</t>
  </si>
  <si>
    <t>Costo académico ejecutado</t>
  </si>
  <si>
    <t>70 h × USD 8/h</t>
  </si>
  <si>
    <t>Costo académico pendiente</t>
  </si>
  <si>
    <t>Horas restantes × USD 8/h</t>
  </si>
  <si>
    <t>% esfuerzo ejecutado</t>
  </si>
  <si>
    <t>70/360 = 19,44%</t>
  </si>
  <si>
    <t>ID</t>
  </si>
  <si>
    <t>Fase</t>
  </si>
  <si>
    <t>Inicio</t>
  </si>
  <si>
    <t>Fin</t>
  </si>
  <si>
    <t>Días</t>
  </si>
  <si>
    <t>Avance actual</t>
  </si>
  <si>
    <t>Avance objetivo</t>
  </si>
  <si>
    <t>Estado</t>
  </si>
  <si>
    <t>Ruta crítica</t>
  </si>
  <si>
    <t>Hito</t>
  </si>
  <si>
    <t>F1</t>
  </si>
  <si>
    <t>Sí</t>
  </si>
  <si>
    <t>H1 - Alcance definido</t>
  </si>
  <si>
    <t>F2</t>
  </si>
  <si>
    <t>Revisión bibliográfica y normativa</t>
  </si>
  <si>
    <t>H2 - Marco conceptual validado</t>
  </si>
  <si>
    <t>F3</t>
  </si>
  <si>
    <t>Relevamiento y requerimientos</t>
  </si>
  <si>
    <t>H3 - Requerimientos cerrados</t>
  </si>
  <si>
    <t>F4</t>
  </si>
  <si>
    <t>H4 - Diseño GPON validado</t>
  </si>
  <si>
    <t>F5</t>
  </si>
  <si>
    <t>Análisis financiero e impacto</t>
  </si>
  <si>
    <t>No</t>
  </si>
  <si>
    <t>H5 - Modelo financiero comparado</t>
  </si>
  <si>
    <t>F6</t>
  </si>
  <si>
    <t>Gestión, riesgos, Gantt, PERT y dashboard</t>
  </si>
  <si>
    <t>H6 - Dashboard operativo</t>
  </si>
  <si>
    <t>F7</t>
  </si>
  <si>
    <t>Redacción, revisión y defensa</t>
  </si>
  <si>
    <t>H7 - Defensa final</t>
  </si>
  <si>
    <t>Objetivo</t>
  </si>
  <si>
    <t>Actual</t>
  </si>
  <si>
    <t>Meta</t>
  </si>
  <si>
    <t>Unidad</t>
  </si>
  <si>
    <t>Tipo</t>
  </si>
  <si>
    <t>Normalizado %</t>
  </si>
  <si>
    <t>Interpretación</t>
  </si>
  <si>
    <t>KPI-01</t>
  </si>
  <si>
    <t>Avance de redacción</t>
  </si>
  <si>
    <t>Páginas redact./planif.</t>
  </si>
  <si>
    <t>%</t>
  </si>
  <si>
    <t>Mayor es mejor</t>
  </si>
  <si>
    <t>≥85% OK; 70-84% Advertencia; &lt;70% Crítico</t>
  </si>
  <si>
    <t>KPI-02</t>
  </si>
  <si>
    <t>Cumplimiento cronograma</t>
  </si>
  <si>
    <t>Tareas a tiempo/planif.</t>
  </si>
  <si>
    <t>KPI-03</t>
  </si>
  <si>
    <t>Riesgos críticos abiertos</t>
  </si>
  <si>
    <t>Cant. riesgos rojos</t>
  </si>
  <si>
    <t>riesgos</t>
  </si>
  <si>
    <t>Menor es mejor</t>
  </si>
  <si>
    <t>≤3 OK; 4-5 Advertencia; &gt;5 Crítico</t>
  </si>
  <si>
    <t>KPI-04</t>
  </si>
  <si>
    <t>Validación técnica</t>
  </si>
  <si>
    <t>Entregables valid./total</t>
  </si>
  <si>
    <t>100% OK; 75-99% Advertencia; &lt;75% Crítico</t>
  </si>
  <si>
    <t>KPI-05</t>
  </si>
  <si>
    <t>Escenarios resuel./req.</t>
  </si>
  <si>
    <t>100% OK; 50-99% Advertencia; &lt;50% Crítico</t>
  </si>
  <si>
    <t>KPI-06</t>
  </si>
  <si>
    <t>Cobertura consignas</t>
  </si>
  <si>
    <t>Consignas resolv./total</t>
  </si>
  <si>
    <t>100% OK; 80-99% Advertencia; &lt;80% Crítico</t>
  </si>
  <si>
    <t>KPI-07</t>
  </si>
  <si>
    <t>Coherencia informe-dashboard</t>
  </si>
  <si>
    <t>Datos coinc./auditados</t>
  </si>
  <si>
    <t>≥98% OK; 90-97% Advertencia; &lt;90% Crítico</t>
  </si>
  <si>
    <t>KPI-08</t>
  </si>
  <si>
    <t>SLA con tutor</t>
  </si>
  <si>
    <t>Horas prom. respuesta</t>
  </si>
  <si>
    <t>horas</t>
  </si>
  <si>
    <t>≤72h OK; ≤96h Advertencia; &gt;96h Crítico</t>
  </si>
  <si>
    <t>Riesgo</t>
  </si>
  <si>
    <t>Categoría</t>
  </si>
  <si>
    <t>Probabilidad</t>
  </si>
  <si>
    <t>Impacto</t>
  </si>
  <si>
    <t>Score</t>
  </si>
  <si>
    <t>Semáforo</t>
  </si>
  <si>
    <t>Plan preventivo</t>
  </si>
  <si>
    <t>Plan contingente</t>
  </si>
  <si>
    <t>Responsable</t>
  </si>
  <si>
    <t>Alerta temprana</t>
  </si>
  <si>
    <t>Importación/falta stock OLT</t>
  </si>
  <si>
    <t>Proveedores</t>
  </si>
  <si>
    <t>Vendors stock nac.</t>
  </si>
  <si>
    <t>Marca alt. o compra escalonada</t>
  </si>
  <si>
    <t>Área técnica</t>
  </si>
  <si>
    <t>Lead time &gt;30 días</t>
  </si>
  <si>
    <t>R2</t>
  </si>
  <si>
    <t>Tormentas eléctricas/humedad</t>
  </si>
  <si>
    <t>Entorno</t>
  </si>
  <si>
    <t>Cable ADSS, IP65</t>
  </si>
  <si>
    <t>Reemplazo pasivos</t>
  </si>
  <si>
    <t>Mantenimiento</t>
  </si>
  <si>
    <t>Fallas post tormenta</t>
  </si>
  <si>
    <t>Permisos postación EMSA/TVC5</t>
  </si>
  <si>
    <t>Regulatorio</t>
  </si>
  <si>
    <t>Gestión temprana</t>
  </si>
  <si>
    <t>IRU/fibra oscura</t>
  </si>
  <si>
    <t>Sin respuesta formal</t>
  </si>
  <si>
    <t>R4</t>
  </si>
  <si>
    <t>Vandalismo/cortes fibra</t>
  </si>
  <si>
    <t>Seguridad</t>
  </si>
  <si>
    <t>Gabinetes prot.</t>
  </si>
  <si>
    <t>Reparación prioritaria</t>
  </si>
  <si>
    <t>NOC/Seguridad</t>
  </si>
  <si>
    <t>Enlace caído</t>
  </si>
  <si>
    <t>R5</t>
  </si>
  <si>
    <t>Déficit técnicos GPON locales</t>
  </si>
  <si>
    <t>Soporte</t>
  </si>
  <si>
    <t>Capacitación CAPEX</t>
  </si>
  <si>
    <t>Cuadrilla ext. SLA</t>
  </si>
  <si>
    <t>Errores empalme</t>
  </si>
  <si>
    <t>R6</t>
  </si>
  <si>
    <t>Cambio requisitos municipales</t>
  </si>
  <si>
    <t>Alcance</t>
  </si>
  <si>
    <t>Congelar alcance E1</t>
  </si>
  <si>
    <t>Posponer a fase futura</t>
  </si>
  <si>
    <t>Tesista/Tutor</t>
  </si>
  <si>
    <t>Pedidos fuera alcance</t>
  </si>
  <si>
    <t>R7</t>
  </si>
  <si>
    <t>Retrasos presupuestarios</t>
  </si>
  <si>
    <t>Ejecución por fases</t>
  </si>
  <si>
    <t>Fase mínima viable</t>
  </si>
  <si>
    <t>Municipio/Pcia</t>
  </si>
  <si>
    <t>Partidas no aprobadas</t>
  </si>
  <si>
    <t>R8</t>
  </si>
  <si>
    <t>Cambio político</t>
  </si>
  <si>
    <t>Institucional</t>
  </si>
  <si>
    <t>Documentar impacto</t>
  </si>
  <si>
    <t>Reformular como seg. urbana</t>
  </si>
  <si>
    <t>Sponsor inst.</t>
  </si>
  <si>
    <t>Cambio de agenda</t>
  </si>
  <si>
    <t>R9</t>
  </si>
  <si>
    <t>Sobrecostos de materiales</t>
  </si>
  <si>
    <t>Financiero</t>
  </si>
  <si>
    <t>Contingencia 10%</t>
  </si>
  <si>
    <t>Reducir fase 2</t>
  </si>
  <si>
    <t>Compras/Tesista</t>
  </si>
  <si>
    <t>Cotizaciones +10%</t>
  </si>
  <si>
    <t>Inconsistencia informe-dashboard</t>
  </si>
  <si>
    <t>Gestión acad.</t>
  </si>
  <si>
    <t>Congelar y auditar</t>
  </si>
  <si>
    <t>Corregir y registrar cambio</t>
  </si>
  <si>
    <t>Dif. CAPEX/VAN/TIR</t>
  </si>
  <si>
    <t>Concepto</t>
  </si>
  <si>
    <t>Planificado / Estimado (USD)</t>
  </si>
  <si>
    <t>Ejecutado Real (USD)</t>
  </si>
  <si>
    <t>Pendiente (USD)</t>
  </si>
  <si>
    <t>% Ejecutado</t>
  </si>
  <si>
    <t>Escenario</t>
  </si>
  <si>
    <t>Comentario</t>
  </si>
  <si>
    <t>CAPEX infraestructura GPON</t>
  </si>
  <si>
    <t>Infraestructura</t>
  </si>
  <si>
    <t>Ambos</t>
  </si>
  <si>
    <t>Inversión estimada: OLT, cámaras, ONT/ONU, NAP, fibra, instalación e ingeniería. No ejecutado físicamente.</t>
  </si>
  <si>
    <t>Operación</t>
  </si>
  <si>
    <t>Operación anual estimada: soporte, energía, postación, licencias, mantenimiento y conectividad.</t>
  </si>
  <si>
    <t>Esfuerzo académico del tesista</t>
  </si>
  <si>
    <t>Recurso humano académico</t>
  </si>
  <si>
    <t>Académico</t>
  </si>
  <si>
    <t>Valorización del tiempo: 360 h planif. / 70 h actuales × USD 8/h. No es desembolso estatal.</t>
  </si>
  <si>
    <t>Beneficios sociales Año 1</t>
  </si>
  <si>
    <t>No aplica</t>
  </si>
  <si>
    <t>Beneficio social estimado</t>
  </si>
  <si>
    <t>Social</t>
  </si>
  <si>
    <t>Beneficio socioeconómico monetizado. No es gasto ni ingreso comercial ejecutado.</t>
  </si>
  <si>
    <t>Indicador financiero</t>
  </si>
  <si>
    <t>Indicador de viabilidad socioeconómica. No se grafica como presupuesto.</t>
  </si>
  <si>
    <t>Estatal</t>
  </si>
  <si>
    <t>Resultado financiero negativo. Defendible como política pública, no como inversión recuperable.</t>
  </si>
  <si>
    <t>Necesidad presupuestaria 5 años</t>
  </si>
  <si>
    <t>Presupuesto público proyectado</t>
  </si>
  <si>
    <t>Necesidad total estimada para implementación y operación a 5 años. No ejecutada.</t>
  </si>
  <si>
    <t>Alerta / Cuello de botella</t>
  </si>
  <si>
    <t>Severidad</t>
  </si>
  <si>
    <t>Origen</t>
  </si>
  <si>
    <t>Acción requerida</t>
  </si>
  <si>
    <t>A1</t>
  </si>
  <si>
    <t>Validar permisos de postación EMSA/TVC5</t>
  </si>
  <si>
    <t>Solicitar respuesta formal y rutas alternativas</t>
  </si>
  <si>
    <t>A2</t>
  </si>
  <si>
    <t>Confirmar stock OLT/switches y equivalentes</t>
  </si>
  <si>
    <t>A3</t>
  </si>
  <si>
    <t>Auditar coherencia CAPEX/OPEX/VAN entre documentos</t>
  </si>
  <si>
    <t>Congelar versión y revisar valores clave</t>
  </si>
  <si>
    <t>A4</t>
  </si>
  <si>
    <t>Cerrar diseño técnico GPON antes de integración financiera</t>
  </si>
  <si>
    <t>Validar topología y memoria técnica</t>
  </si>
  <si>
    <t>A5</t>
  </si>
  <si>
    <t>Actualizar progreso semanal del Gantt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</si>
</sst>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USD &quot;#,##0"/>
    <numFmt numFmtId="165" formatCode="&quot;USD &quot;#,##0.00"/>
    <numFmt numFmtId="166" formatCode="DD/MM/YYYY"/>
    <numFmt numFmtId="167" formatCode="0.0%"/>
  </numFmts>
  <fonts count="24">
    <font>
      <sz val="11.0"/>
      <color theme="1"/>
      <name val="Calibri"/>
      <scheme val="minor"/>
    </font>
    <font>
      <b/>
      <sz val="15.0"/>
      <color rgb="FFFAFAF8"/>
      <name val="Calibri"/>
    </font>
    <font/>
    <font>
      <i/>
      <sz val="10.0"/>
      <color rgb="FFEDE8DF"/>
      <name val="Calibri"/>
    </font>
    <font>
      <b/>
      <sz val="9.0"/>
      <color rgb="FFFAFAF8"/>
      <name val="Calibri"/>
    </font>
    <font>
      <b/>
      <sz val="24.0"/>
      <color rgb="FFFAFAF8"/>
      <name val="Calibri"/>
    </font>
    <font>
      <i/>
      <sz val="8.0"/>
      <color rgb="FFFAFAF8"/>
      <name val="Calibri"/>
    </font>
    <font>
      <sz val="11.0"/>
      <color theme="1"/>
      <name val="Calibri"/>
    </font>
    <font>
      <b/>
      <sz val="11.0"/>
      <color rgb="FFFAFAF8"/>
      <name val="Calibri"/>
    </font>
    <font>
      <b/>
      <sz val="10.0"/>
      <color rgb="FFFAFAF8"/>
      <name val="Calibri"/>
    </font>
    <font>
      <sz val="9.0"/>
      <color rgb="FF1A1A2E"/>
      <name val="Calibri"/>
    </font>
    <font>
      <b/>
      <sz val="9.0"/>
      <color rgb="FF1A1A2E"/>
      <name val="Calibri"/>
    </font>
    <font>
      <b/>
      <sz val="28.0"/>
      <color rgb="FFFAFAF8"/>
      <name val="Calibri"/>
    </font>
    <font>
      <b/>
      <sz val="10.0"/>
      <color rgb="FF1A1A2E"/>
      <name val="Calibri"/>
    </font>
    <font>
      <b/>
      <sz val="28.0"/>
      <color rgb="FF1A1A2E"/>
      <name val="Calibri"/>
    </font>
    <font>
      <sz val="8.0"/>
      <color rgb="FF1A1A2E"/>
      <name val="Calibri"/>
    </font>
    <font>
      <b/>
      <sz val="8.0"/>
      <color rgb="FFFAFAF8"/>
      <name val="Calibri"/>
    </font>
    <font>
      <b/>
      <sz val="8.0"/>
      <color rgb="FFB02A2A"/>
      <name val="Calibri"/>
    </font>
    <font>
      <b/>
      <sz val="8.0"/>
      <color rgb="FFC17B2E"/>
      <name val="Calibri"/>
    </font>
    <font>
      <i/>
      <sz val="8.0"/>
      <color rgb="FF718096"/>
      <name val="Calibri"/>
    </font>
    <font>
      <sz val="10.0"/>
      <color rgb="FF1A1A2E"/>
      <name val="Calibri"/>
    </font>
    <font>
      <i/>
      <sz val="9.0"/>
      <color rgb="FF718096"/>
      <name val="Calibri"/>
    </font>
    <font>
      <b/>
      <sz val="10.0"/>
      <color rgb="FFB02A2A"/>
      <name val="Calibri"/>
    </font>
    <font>
      <b/>
      <sz val="10.0"/>
      <color rgb="FFC17B2E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4A5568"/>
        <bgColor rgb="FF4A5568"/>
      </patternFill>
    </fill>
    <fill>
      <patternFill patternType="solid">
        <fgColor rgb="FF7B2D2D"/>
        <bgColor rgb="FF7B2D2D"/>
      </patternFill>
    </fill>
    <fill>
      <patternFill patternType="solid">
        <fgColor rgb="FF374151"/>
        <bgColor rgb="FF374151"/>
      </patternFill>
    </fill>
    <fill>
      <patternFill patternType="solid">
        <fgColor rgb="FF1E5F74"/>
        <bgColor rgb="FF1E5F74"/>
      </patternFill>
    </fill>
    <fill>
      <patternFill patternType="solid">
        <fgColor rgb="FF7B4514"/>
        <bgColor rgb="FF7B4514"/>
      </patternFill>
    </fill>
    <fill>
      <patternFill patternType="solid">
        <fgColor rgb="FF3D5A80"/>
        <bgColor rgb="FF3D5A80"/>
      </patternFill>
    </fill>
    <fill>
      <patternFill patternType="solid">
        <fgColor rgb="FFB02A2A"/>
        <bgColor rgb="FFB02A2A"/>
      </patternFill>
    </fill>
    <fill>
      <patternFill patternType="solid">
        <fgColor rgb="FF4B5563"/>
        <bgColor rgb="FF4B5563"/>
      </patternFill>
    </fill>
    <fill>
      <patternFill patternType="solid">
        <fgColor rgb="FF2C7873"/>
        <bgColor rgb="FF2C7873"/>
      </patternFill>
    </fill>
    <fill>
      <patternFill patternType="solid">
        <fgColor rgb="FFC17B2E"/>
        <bgColor rgb="FFC17B2E"/>
      </patternFill>
    </fill>
    <fill>
      <patternFill patternType="solid">
        <fgColor rgb="FFCBD5E0"/>
        <bgColor rgb="FFCBD5E0"/>
      </patternFill>
    </fill>
    <fill>
      <patternFill patternType="solid">
        <fgColor rgb="FFEDE8DF"/>
        <bgColor rgb="FFEDE8DF"/>
      </patternFill>
    </fill>
    <fill>
      <patternFill patternType="solid">
        <fgColor rgb="FFFAFAF8"/>
        <bgColor rgb="FFFAFAF8"/>
      </patternFill>
    </fill>
    <fill>
      <patternFill patternType="solid">
        <fgColor rgb="FF4A7C59"/>
        <bgColor rgb="FF4A7C59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D"/>
        <bgColor rgb="FFFEF3CD"/>
      </patternFill>
    </fill>
    <fill>
      <patternFill patternType="solid">
        <fgColor rgb="FFF3E8FF"/>
        <bgColor rgb="FFF3E8FF"/>
      </patternFill>
    </fill>
    <fill>
      <patternFill patternType="solid">
        <fgColor rgb="FF2C6E7A"/>
        <bgColor rgb="FF2C6E7A"/>
      </patternFill>
    </fill>
    <fill>
      <patternFill patternType="solid">
        <fgColor rgb="FFFADADD"/>
        <bgColor rgb="FFFADADD"/>
      </patternFill>
    </fill>
    <fill>
      <patternFill patternType="solid">
        <fgColor rgb="FFF4F1EC"/>
        <bgColor rgb="FFF4F1EC"/>
      </patternFill>
    </fill>
    <fill>
      <patternFill patternType="solid">
        <fgColor rgb="FFE0F2FE"/>
        <bgColor rgb="FFE0F2FE"/>
      </patternFill>
    </fill>
    <fill>
      <patternFill patternType="solid">
        <fgColor rgb="FFF0FDF4"/>
        <bgColor rgb="FFF0FDF4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0" fillId="5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0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1" fillId="12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0" fillId="13" fontId="7" numFmtId="0" xfId="0" applyBorder="1" applyFill="1" applyFont="1"/>
    <xf borderId="1" fillId="3" fontId="8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14" fontId="10" numFmtId="0" xfId="0" applyAlignment="1" applyBorder="1" applyFill="1" applyFont="1">
      <alignment horizontal="left" vertical="center"/>
    </xf>
    <xf borderId="1" fillId="14" fontId="11" numFmtId="9" xfId="0" applyAlignment="1" applyBorder="1" applyFont="1" applyNumberFormat="1">
      <alignment horizontal="center" vertical="center"/>
    </xf>
    <xf borderId="10" fillId="14" fontId="10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 vertical="center"/>
    </xf>
    <xf borderId="1" fillId="15" fontId="10" numFmtId="0" xfId="0" applyAlignment="1" applyBorder="1" applyFill="1" applyFont="1">
      <alignment horizontal="left" vertical="center"/>
    </xf>
    <xf borderId="1" fillId="15" fontId="11" numFmtId="9" xfId="0" applyAlignment="1" applyBorder="1" applyFont="1" applyNumberFormat="1">
      <alignment horizontal="center" vertical="center"/>
    </xf>
    <xf borderId="10" fillId="15" fontId="10" numFmtId="0" xfId="0" applyAlignment="1" applyBorder="1" applyFont="1">
      <alignment horizontal="center" vertical="center"/>
    </xf>
    <xf borderId="1" fillId="12" fontId="13" numFmtId="0" xfId="0" applyAlignment="1" applyBorder="1" applyFont="1">
      <alignment horizontal="center" vertical="center"/>
    </xf>
    <xf borderId="1" fillId="12" fontId="14" numFmtId="0" xfId="0" applyAlignment="1" applyBorder="1" applyFont="1">
      <alignment horizontal="center" vertical="center"/>
    </xf>
    <xf borderId="1" fillId="16" fontId="9" numFmtId="0" xfId="0" applyAlignment="1" applyBorder="1" applyFill="1" applyFont="1">
      <alignment horizontal="center" vertical="center"/>
    </xf>
    <xf borderId="1" fillId="16" fontId="12" numFmtId="0" xfId="0" applyAlignment="1" applyBorder="1" applyFont="1">
      <alignment horizontal="center" vertical="center"/>
    </xf>
    <xf borderId="1" fillId="17" fontId="10" numFmtId="0" xfId="0" applyAlignment="1" applyBorder="1" applyFill="1" applyFont="1">
      <alignment horizontal="left" vertical="center"/>
    </xf>
    <xf borderId="1" fillId="17" fontId="10" numFmtId="164" xfId="0" applyAlignment="1" applyBorder="1" applyFont="1" applyNumberFormat="1">
      <alignment horizontal="right" vertical="center"/>
    </xf>
    <xf borderId="10" fillId="17" fontId="10" numFmtId="164" xfId="0" applyAlignment="1" applyBorder="1" applyFont="1" applyNumberFormat="1">
      <alignment horizontal="right" vertical="center"/>
    </xf>
    <xf borderId="1" fillId="14" fontId="15" numFmtId="0" xfId="0" applyAlignment="1" applyBorder="1" applyFont="1">
      <alignment horizontal="left" vertical="center"/>
    </xf>
    <xf borderId="1" fillId="18" fontId="10" numFmtId="0" xfId="0" applyAlignment="1" applyBorder="1" applyFill="1" applyFont="1">
      <alignment horizontal="left" vertical="center"/>
    </xf>
    <xf borderId="1" fillId="18" fontId="10" numFmtId="164" xfId="0" applyAlignment="1" applyBorder="1" applyFont="1" applyNumberFormat="1">
      <alignment horizontal="right" vertical="center"/>
    </xf>
    <xf borderId="10" fillId="18" fontId="10" numFmtId="164" xfId="0" applyAlignment="1" applyBorder="1" applyFont="1" applyNumberFormat="1">
      <alignment horizontal="right" vertical="center"/>
    </xf>
    <xf borderId="1" fillId="15" fontId="15" numFmtId="0" xfId="0" applyAlignment="1" applyBorder="1" applyFont="1">
      <alignment horizontal="left" vertical="center"/>
    </xf>
    <xf borderId="1" fillId="19" fontId="10" numFmtId="0" xfId="0" applyAlignment="1" applyBorder="1" applyFill="1" applyFont="1">
      <alignment horizontal="left" vertical="center"/>
    </xf>
    <xf borderId="1" fillId="19" fontId="10" numFmtId="164" xfId="0" applyAlignment="1" applyBorder="1" applyFont="1" applyNumberFormat="1">
      <alignment horizontal="right" vertical="center"/>
    </xf>
    <xf borderId="10" fillId="19" fontId="10" numFmtId="164" xfId="0" applyAlignment="1" applyBorder="1" applyFont="1" applyNumberFormat="1">
      <alignment horizontal="right" vertical="center"/>
    </xf>
    <xf borderId="1" fillId="20" fontId="10" numFmtId="0" xfId="0" applyAlignment="1" applyBorder="1" applyFill="1" applyFont="1">
      <alignment horizontal="left" vertical="center"/>
    </xf>
    <xf borderId="1" fillId="20" fontId="10" numFmtId="164" xfId="0" applyAlignment="1" applyBorder="1" applyFont="1" applyNumberFormat="1">
      <alignment horizontal="right" vertical="center"/>
    </xf>
    <xf borderId="10" fillId="20" fontId="10" numFmtId="164" xfId="0" applyAlignment="1" applyBorder="1" applyFont="1" applyNumberFormat="1">
      <alignment horizontal="right" vertical="center"/>
    </xf>
    <xf borderId="10" fillId="3" fontId="16" numFmtId="0" xfId="0" applyAlignment="1" applyBorder="1" applyFont="1">
      <alignment horizontal="center" vertical="center"/>
    </xf>
    <xf borderId="10" fillId="16" fontId="16" numFmtId="0" xfId="0" applyAlignment="1" applyBorder="1" applyFont="1">
      <alignment horizontal="center" vertical="center"/>
    </xf>
    <xf borderId="10" fillId="21" fontId="16" numFmtId="0" xfId="0" applyAlignment="1" applyBorder="1" applyFill="1" applyFont="1">
      <alignment horizontal="center" vertical="center"/>
    </xf>
    <xf borderId="10" fillId="9" fontId="16" numFmtId="0" xfId="0" applyAlignment="1" applyBorder="1" applyFont="1">
      <alignment horizontal="center" vertical="center"/>
    </xf>
    <xf borderId="10" fillId="3" fontId="9" numFmtId="164" xfId="0" applyAlignment="1" applyBorder="1" applyFont="1" applyNumberFormat="1">
      <alignment horizontal="center" vertical="center"/>
    </xf>
    <xf borderId="10" fillId="16" fontId="9" numFmtId="164" xfId="0" applyAlignment="1" applyBorder="1" applyFont="1" applyNumberFormat="1">
      <alignment horizontal="center" vertical="center"/>
    </xf>
    <xf borderId="10" fillId="21" fontId="9" numFmtId="164" xfId="0" applyAlignment="1" applyBorder="1" applyFont="1" applyNumberFormat="1">
      <alignment horizontal="center" vertical="center"/>
    </xf>
    <xf borderId="10" fillId="9" fontId="9" numFmtId="164" xfId="0" applyAlignment="1" applyBorder="1" applyFont="1" applyNumberFormat="1">
      <alignment horizontal="center" vertical="center"/>
    </xf>
    <xf borderId="1" fillId="22" fontId="15" numFmtId="0" xfId="0" applyAlignment="1" applyBorder="1" applyFill="1" applyFont="1">
      <alignment horizontal="left" shrinkToFit="0" vertical="center" wrapText="1"/>
    </xf>
    <xf borderId="10" fillId="22" fontId="17" numFmtId="0" xfId="0" applyAlignment="1" applyBorder="1" applyFont="1">
      <alignment horizontal="center" vertical="center"/>
    </xf>
    <xf borderId="10" fillId="22" fontId="15" numFmtId="0" xfId="0" applyAlignment="1" applyBorder="1" applyFont="1">
      <alignment horizontal="center" vertical="center"/>
    </xf>
    <xf borderId="1" fillId="19" fontId="15" numFmtId="0" xfId="0" applyAlignment="1" applyBorder="1" applyFont="1">
      <alignment horizontal="left" shrinkToFit="0" vertical="center" wrapText="1"/>
    </xf>
    <xf borderId="10" fillId="19" fontId="18" numFmtId="0" xfId="0" applyAlignment="1" applyBorder="1" applyFont="1">
      <alignment horizontal="center" vertical="center"/>
    </xf>
    <xf borderId="10" fillId="19" fontId="15" numFmtId="0" xfId="0" applyAlignment="1" applyBorder="1" applyFont="1">
      <alignment horizontal="center" vertical="center"/>
    </xf>
    <xf borderId="1" fillId="23" fontId="19" numFmtId="0" xfId="0" applyAlignment="1" applyBorder="1" applyFill="1" applyFont="1">
      <alignment horizontal="center" vertical="center"/>
    </xf>
    <xf borderId="11" fillId="2" fontId="9" numFmtId="0" xfId="0" applyAlignment="1" applyBorder="1" applyFont="1">
      <alignment horizontal="center" vertical="center"/>
    </xf>
    <xf borderId="11" fillId="14" fontId="20" numFmtId="0" xfId="0" applyAlignment="1" applyBorder="1" applyFont="1">
      <alignment horizontal="left" vertical="center"/>
    </xf>
    <xf borderId="11" fillId="15" fontId="20" numFmtId="0" xfId="0" applyAlignment="1" applyBorder="1" applyFont="1">
      <alignment horizontal="left" vertical="center"/>
    </xf>
    <xf borderId="11" fillId="14" fontId="20" numFmtId="165" xfId="0" applyAlignment="1" applyBorder="1" applyFont="1" applyNumberFormat="1">
      <alignment horizontal="left" vertical="center"/>
    </xf>
    <xf borderId="11" fillId="15" fontId="20" numFmtId="165" xfId="0" applyAlignment="1" applyBorder="1" applyFont="1" applyNumberFormat="1">
      <alignment horizontal="left" vertical="center"/>
    </xf>
    <xf borderId="11" fillId="15" fontId="20" numFmtId="10" xfId="0" applyAlignment="1" applyBorder="1" applyFont="1" applyNumberFormat="1">
      <alignment horizontal="left" vertical="center"/>
    </xf>
    <xf borderId="11" fillId="14" fontId="20" numFmtId="10" xfId="0" applyAlignment="1" applyBorder="1" applyFont="1" applyNumberFormat="1">
      <alignment horizontal="left" vertical="center"/>
    </xf>
    <xf borderId="11" fillId="14" fontId="20" numFmtId="0" xfId="0" applyAlignment="1" applyBorder="1" applyFont="1">
      <alignment horizontal="center" vertical="center"/>
    </xf>
    <xf borderId="11" fillId="14" fontId="20" numFmtId="166" xfId="0" applyAlignment="1" applyBorder="1" applyFont="1" applyNumberFormat="1">
      <alignment horizontal="center" vertical="center"/>
    </xf>
    <xf borderId="11" fillId="14" fontId="20" numFmtId="1" xfId="0" applyAlignment="1" applyBorder="1" applyFont="1" applyNumberFormat="1">
      <alignment horizontal="center" vertical="center"/>
    </xf>
    <xf borderId="11" fillId="14" fontId="20" numFmtId="9" xfId="0" applyAlignment="1" applyBorder="1" applyFont="1" applyNumberFormat="1">
      <alignment horizontal="center" vertical="center"/>
    </xf>
    <xf borderId="11" fillId="15" fontId="20" numFmtId="0" xfId="0" applyAlignment="1" applyBorder="1" applyFont="1">
      <alignment horizontal="center" vertical="center"/>
    </xf>
    <xf borderId="11" fillId="15" fontId="20" numFmtId="166" xfId="0" applyAlignment="1" applyBorder="1" applyFont="1" applyNumberFormat="1">
      <alignment horizontal="center" vertical="center"/>
    </xf>
    <xf borderId="11" fillId="15" fontId="20" numFmtId="1" xfId="0" applyAlignment="1" applyBorder="1" applyFont="1" applyNumberFormat="1">
      <alignment horizontal="center" vertical="center"/>
    </xf>
    <xf borderId="11" fillId="15" fontId="20" numFmtId="9" xfId="0" applyAlignment="1" applyBorder="1" applyFont="1" applyNumberFormat="1">
      <alignment horizontal="center" vertical="center"/>
    </xf>
    <xf borderId="11" fillId="14" fontId="20" numFmtId="0" xfId="0" applyAlignment="1" applyBorder="1" applyFont="1">
      <alignment horizontal="left" shrinkToFit="0" vertical="center" wrapText="1"/>
    </xf>
    <xf borderId="11" fillId="15" fontId="20" numFmtId="0" xfId="0" applyAlignment="1" applyBorder="1" applyFont="1">
      <alignment horizontal="left" shrinkToFit="0" vertical="center" wrapText="1"/>
    </xf>
    <xf borderId="11" fillId="14" fontId="20" numFmtId="2" xfId="0" applyAlignment="1" applyBorder="1" applyFont="1" applyNumberFormat="1">
      <alignment horizontal="center" vertical="center"/>
    </xf>
    <xf borderId="11" fillId="15" fontId="20" numFmtId="2" xfId="0" applyAlignment="1" applyBorder="1" applyFont="1" applyNumberFormat="1">
      <alignment horizontal="center" vertical="center"/>
    </xf>
    <xf borderId="11" fillId="2" fontId="9" numFmtId="0" xfId="0" applyAlignment="1" applyBorder="1" applyFont="1">
      <alignment horizontal="center" shrinkToFit="0" vertical="center" wrapText="1"/>
    </xf>
    <xf borderId="11" fillId="17" fontId="13" numFmtId="0" xfId="0" applyAlignment="1" applyBorder="1" applyFont="1">
      <alignment horizontal="left" vertical="center"/>
    </xf>
    <xf borderId="11" fillId="17" fontId="20" numFmtId="165" xfId="0" applyAlignment="1" applyBorder="1" applyFont="1" applyNumberFormat="1">
      <alignment horizontal="center" vertical="center"/>
    </xf>
    <xf borderId="11" fillId="17" fontId="20" numFmtId="167" xfId="0" applyAlignment="1" applyBorder="1" applyFont="1" applyNumberFormat="1">
      <alignment horizontal="center" vertical="center"/>
    </xf>
    <xf borderId="11" fillId="17" fontId="11" numFmtId="0" xfId="0" applyAlignment="1" applyBorder="1" applyFont="1">
      <alignment horizontal="center" vertical="center"/>
    </xf>
    <xf borderId="11" fillId="17" fontId="10" numFmtId="0" xfId="0" applyAlignment="1" applyBorder="1" applyFont="1">
      <alignment horizontal="center" vertical="center"/>
    </xf>
    <xf borderId="11" fillId="17" fontId="19" numFmtId="0" xfId="0" applyAlignment="1" applyBorder="1" applyFont="1">
      <alignment horizontal="left" shrinkToFit="0" vertical="center" wrapText="1"/>
    </xf>
    <xf borderId="11" fillId="18" fontId="13" numFmtId="0" xfId="0" applyAlignment="1" applyBorder="1" applyFont="1">
      <alignment horizontal="left" vertical="center"/>
    </xf>
    <xf borderId="11" fillId="18" fontId="20" numFmtId="165" xfId="0" applyAlignment="1" applyBorder="1" applyFont="1" applyNumberFormat="1">
      <alignment horizontal="center" vertical="center"/>
    </xf>
    <xf borderId="11" fillId="18" fontId="20" numFmtId="167" xfId="0" applyAlignment="1" applyBorder="1" applyFont="1" applyNumberFormat="1">
      <alignment horizontal="center" vertical="center"/>
    </xf>
    <xf borderId="11" fillId="18" fontId="11" numFmtId="0" xfId="0" applyAlignment="1" applyBorder="1" applyFont="1">
      <alignment horizontal="center" vertical="center"/>
    </xf>
    <xf borderId="11" fillId="18" fontId="10" numFmtId="0" xfId="0" applyAlignment="1" applyBorder="1" applyFont="1">
      <alignment horizontal="center" vertical="center"/>
    </xf>
    <xf borderId="11" fillId="18" fontId="19" numFmtId="0" xfId="0" applyAlignment="1" applyBorder="1" applyFont="1">
      <alignment horizontal="left" shrinkToFit="0" vertical="center" wrapText="1"/>
    </xf>
    <xf borderId="11" fillId="19" fontId="13" numFmtId="0" xfId="0" applyAlignment="1" applyBorder="1" applyFont="1">
      <alignment horizontal="left" vertical="center"/>
    </xf>
    <xf borderId="11" fillId="19" fontId="20" numFmtId="165" xfId="0" applyAlignment="1" applyBorder="1" applyFont="1" applyNumberFormat="1">
      <alignment horizontal="center" vertical="center"/>
    </xf>
    <xf borderId="11" fillId="19" fontId="20" numFmtId="167" xfId="0" applyAlignment="1" applyBorder="1" applyFont="1" applyNumberFormat="1">
      <alignment horizontal="center" vertical="center"/>
    </xf>
    <xf borderId="11" fillId="19" fontId="11" numFmtId="0" xfId="0" applyAlignment="1" applyBorder="1" applyFont="1">
      <alignment horizontal="center" vertical="center"/>
    </xf>
    <xf borderId="11" fillId="19" fontId="10" numFmtId="0" xfId="0" applyAlignment="1" applyBorder="1" applyFont="1">
      <alignment horizontal="center" vertical="center"/>
    </xf>
    <xf borderId="11" fillId="19" fontId="19" numFmtId="0" xfId="0" applyAlignment="1" applyBorder="1" applyFont="1">
      <alignment horizontal="left" shrinkToFit="0" vertical="center" wrapText="1"/>
    </xf>
    <xf borderId="11" fillId="24" fontId="13" numFmtId="0" xfId="0" applyAlignment="1" applyBorder="1" applyFill="1" applyFont="1">
      <alignment horizontal="left" vertical="center"/>
    </xf>
    <xf borderId="11" fillId="24" fontId="20" numFmtId="165" xfId="0" applyAlignment="1" applyBorder="1" applyFont="1" applyNumberFormat="1">
      <alignment horizontal="center" vertical="center"/>
    </xf>
    <xf borderId="11" fillId="24" fontId="21" numFmtId="0" xfId="0" applyAlignment="1" applyBorder="1" applyFont="1">
      <alignment horizontal="center" vertical="center"/>
    </xf>
    <xf borderId="11" fillId="24" fontId="20" numFmtId="167" xfId="0" applyAlignment="1" applyBorder="1" applyFont="1" applyNumberFormat="1">
      <alignment horizontal="center" vertical="center"/>
    </xf>
    <xf borderId="11" fillId="24" fontId="11" numFmtId="0" xfId="0" applyAlignment="1" applyBorder="1" applyFont="1">
      <alignment horizontal="center" vertical="center"/>
    </xf>
    <xf borderId="11" fillId="24" fontId="10" numFmtId="0" xfId="0" applyAlignment="1" applyBorder="1" applyFont="1">
      <alignment horizontal="center" vertical="center"/>
    </xf>
    <xf borderId="11" fillId="24" fontId="19" numFmtId="0" xfId="0" applyAlignment="1" applyBorder="1" applyFont="1">
      <alignment horizontal="left" shrinkToFit="0" vertical="center" wrapText="1"/>
    </xf>
    <xf borderId="11" fillId="25" fontId="13" numFmtId="0" xfId="0" applyAlignment="1" applyBorder="1" applyFill="1" applyFont="1">
      <alignment horizontal="left" vertical="center"/>
    </xf>
    <xf borderId="11" fillId="25" fontId="20" numFmtId="165" xfId="0" applyAlignment="1" applyBorder="1" applyFont="1" applyNumberFormat="1">
      <alignment horizontal="center" vertical="center"/>
    </xf>
    <xf borderId="11" fillId="25" fontId="21" numFmtId="0" xfId="0" applyAlignment="1" applyBorder="1" applyFont="1">
      <alignment horizontal="center" vertical="center"/>
    </xf>
    <xf borderId="11" fillId="25" fontId="20" numFmtId="167" xfId="0" applyAlignment="1" applyBorder="1" applyFont="1" applyNumberFormat="1">
      <alignment horizontal="center" vertical="center"/>
    </xf>
    <xf borderId="11" fillId="25" fontId="11" numFmtId="0" xfId="0" applyAlignment="1" applyBorder="1" applyFont="1">
      <alignment horizontal="center" vertical="center"/>
    </xf>
    <xf borderId="11" fillId="25" fontId="10" numFmtId="0" xfId="0" applyAlignment="1" applyBorder="1" applyFont="1">
      <alignment horizontal="center" vertical="center"/>
    </xf>
    <xf borderId="11" fillId="25" fontId="19" numFmtId="0" xfId="0" applyAlignment="1" applyBorder="1" applyFont="1">
      <alignment horizontal="left" shrinkToFit="0" vertical="center" wrapText="1"/>
    </xf>
    <xf borderId="11" fillId="20" fontId="13" numFmtId="0" xfId="0" applyAlignment="1" applyBorder="1" applyFont="1">
      <alignment horizontal="left" vertical="center"/>
    </xf>
    <xf borderId="11" fillId="20" fontId="20" numFmtId="165" xfId="0" applyAlignment="1" applyBorder="1" applyFont="1" applyNumberFormat="1">
      <alignment horizontal="center" vertical="center"/>
    </xf>
    <xf borderId="11" fillId="20" fontId="20" numFmtId="167" xfId="0" applyAlignment="1" applyBorder="1" applyFont="1" applyNumberFormat="1">
      <alignment horizontal="center" vertical="center"/>
    </xf>
    <xf borderId="11" fillId="20" fontId="11" numFmtId="0" xfId="0" applyAlignment="1" applyBorder="1" applyFont="1">
      <alignment horizontal="center" vertical="center"/>
    </xf>
    <xf borderId="11" fillId="20" fontId="10" numFmtId="0" xfId="0" applyAlignment="1" applyBorder="1" applyFont="1">
      <alignment horizontal="center" vertical="center"/>
    </xf>
    <xf borderId="11" fillId="20" fontId="19" numFmtId="0" xfId="0" applyAlignment="1" applyBorder="1" applyFont="1">
      <alignment horizontal="left" shrinkToFit="0" vertical="center" wrapText="1"/>
    </xf>
    <xf borderId="11" fillId="22" fontId="20" numFmtId="0" xfId="0" applyAlignment="1" applyBorder="1" applyFont="1">
      <alignment horizontal="center" vertical="center"/>
    </xf>
    <xf borderId="11" fillId="22" fontId="20" numFmtId="0" xfId="0" applyAlignment="1" applyBorder="1" applyFont="1">
      <alignment horizontal="left" shrinkToFit="0" vertical="center" wrapText="1"/>
    </xf>
    <xf borderId="11" fillId="22" fontId="22" numFmtId="0" xfId="0" applyAlignment="1" applyBorder="1" applyFont="1">
      <alignment horizontal="center" vertical="center"/>
    </xf>
    <xf borderId="11" fillId="19" fontId="20" numFmtId="0" xfId="0" applyAlignment="1" applyBorder="1" applyFont="1">
      <alignment horizontal="center" vertical="center"/>
    </xf>
    <xf borderId="11" fillId="19" fontId="20" numFmtId="0" xfId="0" applyAlignment="1" applyBorder="1" applyFont="1">
      <alignment horizontal="left" shrinkToFit="0" vertical="center" wrapText="1"/>
    </xf>
    <xf borderId="11" fillId="19" fontId="2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.43"/>
    <col customWidth="1" min="2" max="5" width="13.0"/>
    <col customWidth="1" min="6" max="6" width="51.43"/>
    <col customWidth="1" min="7" max="9" width="13.0"/>
    <col customWidth="1" min="10" max="10" width="61.71"/>
    <col customWidth="1" min="11" max="26" width="8.71"/>
  </cols>
  <sheetData>
    <row r="1" ht="30.0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25.5" customHeight="1">
      <c r="B2" s="4" t="s">
        <v>1</v>
      </c>
      <c r="C2" s="5"/>
      <c r="D2" s="5"/>
      <c r="E2" s="5"/>
      <c r="F2" s="5"/>
      <c r="G2" s="5"/>
      <c r="H2" s="5"/>
      <c r="I2" s="5"/>
      <c r="J2" s="6"/>
    </row>
    <row r="3" ht="19.5" customHeight="1">
      <c r="B3" s="7"/>
      <c r="C3" s="8"/>
      <c r="D3" s="8"/>
      <c r="E3" s="8"/>
      <c r="F3" s="8"/>
      <c r="G3" s="8"/>
      <c r="H3" s="8"/>
      <c r="I3" s="8"/>
      <c r="J3" s="9"/>
    </row>
    <row r="4" ht="6.0" customHeight="1"/>
    <row r="5" ht="6.0" customHeight="1"/>
    <row r="6" ht="19.5" customHeight="1">
      <c r="B6" s="10" t="s">
        <v>2</v>
      </c>
      <c r="C6" s="3"/>
      <c r="D6" s="11" t="s">
        <v>3</v>
      </c>
      <c r="E6" s="3"/>
      <c r="F6" s="12" t="s">
        <v>4</v>
      </c>
      <c r="G6" s="13" t="s">
        <v>5</v>
      </c>
      <c r="H6" s="3"/>
      <c r="I6" s="14" t="s">
        <v>6</v>
      </c>
      <c r="J6" s="3"/>
    </row>
    <row r="7" ht="33.75" customHeight="1">
      <c r="B7" s="15" t="str">
        <f>TEXT(AVERAGE(Cronograma!F2:F8),"0%")</f>
        <v>56%</v>
      </c>
      <c r="C7" s="3"/>
      <c r="D7" s="16">
        <f>COUNTIF(Riesgos!G2:G11,"Rojo")</f>
        <v>2</v>
      </c>
      <c r="E7" s="3"/>
      <c r="F7" s="17" t="s">
        <v>7</v>
      </c>
      <c r="G7" s="18" t="str">
        <f>TEXT(560/2880,"0.0%")</f>
        <v>19.4%</v>
      </c>
      <c r="H7" s="3"/>
      <c r="I7" s="19">
        <f>COUNTIF(Alertas!G2:G6,"Abierta")+COUNTIF(Alertas!G2:G6,"En curso")</f>
        <v>5</v>
      </c>
      <c r="J7" s="3"/>
    </row>
    <row r="8" ht="15.75" customHeight="1">
      <c r="B8" s="20" t="s">
        <v>8</v>
      </c>
      <c r="C8" s="3"/>
      <c r="D8" s="21" t="s">
        <v>9</v>
      </c>
      <c r="E8" s="3"/>
      <c r="F8" s="22" t="s">
        <v>10</v>
      </c>
      <c r="G8" s="23" t="s">
        <v>11</v>
      </c>
      <c r="H8" s="3"/>
      <c r="I8" s="24" t="s">
        <v>12</v>
      </c>
      <c r="J8" s="3"/>
    </row>
    <row r="9" ht="6.0" customHeight="1"/>
    <row r="10" ht="3.75" customHeight="1">
      <c r="B10" s="25"/>
      <c r="C10" s="25"/>
      <c r="D10" s="25"/>
      <c r="E10" s="25"/>
      <c r="F10" s="25"/>
      <c r="G10" s="25"/>
      <c r="H10" s="25"/>
      <c r="I10" s="25"/>
      <c r="J10" s="25"/>
    </row>
    <row r="11" ht="21.75" customHeight="1">
      <c r="B11" s="26" t="s">
        <v>13</v>
      </c>
      <c r="C11" s="2"/>
      <c r="D11" s="2"/>
      <c r="E11" s="2"/>
      <c r="F11" s="3"/>
      <c r="G11" s="26" t="s">
        <v>14</v>
      </c>
      <c r="H11" s="2"/>
      <c r="I11" s="2"/>
      <c r="J11" s="3"/>
    </row>
    <row r="12" ht="18.0" customHeight="1">
      <c r="B12" s="27" t="s">
        <v>15</v>
      </c>
      <c r="C12" s="3"/>
      <c r="D12" s="27" t="s">
        <v>16</v>
      </c>
      <c r="E12" s="3"/>
      <c r="F12" s="28" t="s">
        <v>17</v>
      </c>
      <c r="G12" s="29" t="s">
        <v>18</v>
      </c>
      <c r="H12" s="2"/>
      <c r="I12" s="2"/>
      <c r="J12" s="3"/>
    </row>
    <row r="13" ht="30.0" customHeight="1">
      <c r="B13" s="30" t="s">
        <v>19</v>
      </c>
      <c r="C13" s="3"/>
      <c r="D13" s="31">
        <f>Cronograma!F2</f>
        <v>1</v>
      </c>
      <c r="E13" s="3"/>
      <c r="F13" s="32" t="str">
        <f>Cronograma!H2</f>
        <v>Finalizado</v>
      </c>
      <c r="G13" s="33">
        <f>COUNTIF(Riesgos!G2:G11,"Rojo")</f>
        <v>2</v>
      </c>
      <c r="H13" s="2"/>
      <c r="I13" s="2"/>
      <c r="J13" s="3"/>
    </row>
    <row r="14" ht="16.5" customHeight="1">
      <c r="B14" s="34" t="s">
        <v>20</v>
      </c>
      <c r="C14" s="3"/>
      <c r="D14" s="35">
        <f>Cronograma!F3</f>
        <v>1</v>
      </c>
      <c r="E14" s="3"/>
      <c r="F14" s="36" t="str">
        <f>Cronograma!H3</f>
        <v>Finalizado</v>
      </c>
    </row>
    <row r="15" ht="18.0" customHeight="1">
      <c r="B15" s="30" t="s">
        <v>21</v>
      </c>
      <c r="C15" s="3"/>
      <c r="D15" s="31">
        <f>Cronograma!F4</f>
        <v>0.9</v>
      </c>
      <c r="E15" s="3"/>
      <c r="F15" s="32" t="str">
        <f>Cronograma!H4</f>
        <v>En curso</v>
      </c>
      <c r="G15" s="37" t="s">
        <v>22</v>
      </c>
      <c r="H15" s="2"/>
      <c r="I15" s="2"/>
      <c r="J15" s="3"/>
    </row>
    <row r="16" ht="30.0" customHeight="1">
      <c r="B16" s="34" t="s">
        <v>23</v>
      </c>
      <c r="C16" s="3"/>
      <c r="D16" s="35">
        <f>Cronograma!F5</f>
        <v>0.45</v>
      </c>
      <c r="E16" s="3"/>
      <c r="F16" s="36" t="str">
        <f>Cronograma!H5</f>
        <v>Atrasado</v>
      </c>
      <c r="G16" s="38">
        <f>COUNTIF(Riesgos!G2:G11,"Amarillo")</f>
        <v>7</v>
      </c>
      <c r="H16" s="2"/>
      <c r="I16" s="2"/>
      <c r="J16" s="3"/>
    </row>
    <row r="17" ht="16.5" customHeight="1">
      <c r="B17" s="30" t="s">
        <v>24</v>
      </c>
      <c r="C17" s="3"/>
      <c r="D17" s="31">
        <f>Cronograma!F6</f>
        <v>0.35</v>
      </c>
      <c r="E17" s="3"/>
      <c r="F17" s="32" t="str">
        <f>Cronograma!H6</f>
        <v>Atrasado</v>
      </c>
    </row>
    <row r="18" ht="18.0" customHeight="1">
      <c r="B18" s="34" t="s">
        <v>25</v>
      </c>
      <c r="C18" s="3"/>
      <c r="D18" s="35">
        <f>Cronograma!F7</f>
        <v>0.15</v>
      </c>
      <c r="E18" s="3"/>
      <c r="F18" s="36" t="str">
        <f>Cronograma!H7</f>
        <v>Atrasado</v>
      </c>
      <c r="G18" s="39" t="s">
        <v>26</v>
      </c>
      <c r="H18" s="2"/>
      <c r="I18" s="2"/>
      <c r="J18" s="3"/>
    </row>
    <row r="19" ht="30.0" customHeight="1">
      <c r="B19" s="30" t="s">
        <v>27</v>
      </c>
      <c r="C19" s="3"/>
      <c r="D19" s="31">
        <f>Cronograma!F8</f>
        <v>0.05</v>
      </c>
      <c r="E19" s="3"/>
      <c r="F19" s="32" t="str">
        <f>Cronograma!H8</f>
        <v>Atrasado</v>
      </c>
      <c r="G19" s="40">
        <f>COUNTIF(Riesgos!G2:G11,"Verde")</f>
        <v>1</v>
      </c>
      <c r="H19" s="2"/>
      <c r="I19" s="2"/>
      <c r="J19" s="3"/>
    </row>
    <row r="20" ht="6.0" customHeight="1"/>
    <row r="21" ht="1.5" customHeight="1"/>
    <row r="22" ht="3.75" customHeight="1">
      <c r="B22" s="25"/>
      <c r="C22" s="25"/>
      <c r="D22" s="25"/>
      <c r="E22" s="25"/>
      <c r="F22" s="25"/>
      <c r="G22" s="25"/>
      <c r="H22" s="25"/>
      <c r="I22" s="25"/>
      <c r="J22" s="25"/>
    </row>
    <row r="23" ht="21.75" customHeight="1">
      <c r="B23" s="26" t="s">
        <v>28</v>
      </c>
      <c r="C23" s="2"/>
      <c r="D23" s="2"/>
      <c r="E23" s="2"/>
      <c r="F23" s="3"/>
      <c r="G23" s="26" t="s">
        <v>29</v>
      </c>
      <c r="H23" s="2"/>
      <c r="I23" s="2"/>
      <c r="J23" s="3"/>
    </row>
    <row r="24" ht="18.0" customHeight="1">
      <c r="B24" s="27" t="s">
        <v>30</v>
      </c>
      <c r="C24" s="3"/>
      <c r="D24" s="27" t="s">
        <v>31</v>
      </c>
      <c r="E24" s="3"/>
      <c r="F24" s="28" t="s">
        <v>32</v>
      </c>
      <c r="G24" s="27" t="s">
        <v>33</v>
      </c>
      <c r="H24" s="3"/>
      <c r="I24" s="27" t="s">
        <v>34</v>
      </c>
      <c r="J24" s="3"/>
    </row>
    <row r="25" ht="18.0" customHeight="1">
      <c r="B25" s="41" t="s">
        <v>35</v>
      </c>
      <c r="C25" s="3"/>
      <c r="D25" s="42">
        <f>Presupuesto!B2</f>
        <v>120730.72</v>
      </c>
      <c r="E25" s="3"/>
      <c r="F25" s="43">
        <f>Presupuesto!C2</f>
        <v>0</v>
      </c>
      <c r="G25" s="44" t="s">
        <v>36</v>
      </c>
      <c r="H25" s="3"/>
      <c r="I25" s="31">
        <f>KPIs!I2</f>
        <v>0.5294117647</v>
      </c>
      <c r="J25" s="3"/>
    </row>
    <row r="26" ht="18.0" customHeight="1">
      <c r="B26" s="45" t="s">
        <v>37</v>
      </c>
      <c r="C26" s="3"/>
      <c r="D26" s="46">
        <f>Presupuesto!B3</f>
        <v>31325.58</v>
      </c>
      <c r="E26" s="3"/>
      <c r="F26" s="47">
        <f>Presupuesto!C3</f>
        <v>0</v>
      </c>
      <c r="G26" s="48" t="s">
        <v>38</v>
      </c>
      <c r="H26" s="3"/>
      <c r="I26" s="35">
        <f>KPIs!I3</f>
        <v>0.9411764706</v>
      </c>
      <c r="J26" s="3"/>
    </row>
    <row r="27" ht="18.0" customHeight="1">
      <c r="B27" s="49" t="s">
        <v>39</v>
      </c>
      <c r="C27" s="3"/>
      <c r="D27" s="50">
        <f>Presupuesto!B4</f>
        <v>2880</v>
      </c>
      <c r="E27" s="3"/>
      <c r="F27" s="51">
        <f>Presupuesto!C4</f>
        <v>560</v>
      </c>
      <c r="G27" s="44" t="s">
        <v>40</v>
      </c>
      <c r="H27" s="3"/>
      <c r="I27" s="31">
        <f>KPIs!I5</f>
        <v>0.6</v>
      </c>
      <c r="J27" s="3"/>
    </row>
    <row r="28" ht="18.0" customHeight="1">
      <c r="B28" s="52" t="s">
        <v>41</v>
      </c>
      <c r="C28" s="3"/>
      <c r="D28" s="53">
        <f>Presupuesto!B8</f>
        <v>299115.53</v>
      </c>
      <c r="E28" s="3"/>
      <c r="F28" s="54">
        <f>Presupuesto!C8</f>
        <v>0</v>
      </c>
      <c r="G28" s="48" t="s">
        <v>42</v>
      </c>
      <c r="H28" s="3"/>
      <c r="I28" s="35">
        <f>KPIs!I6</f>
        <v>0.5</v>
      </c>
      <c r="J28" s="3"/>
    </row>
    <row r="29" ht="21.0" customHeight="1">
      <c r="G29" s="44" t="s">
        <v>43</v>
      </c>
      <c r="H29" s="3"/>
      <c r="I29" s="31">
        <f>KPIs!I7</f>
        <v>0.8</v>
      </c>
      <c r="J29" s="3"/>
    </row>
    <row r="30" ht="18.0" customHeight="1">
      <c r="B30" s="55" t="s">
        <v>44</v>
      </c>
      <c r="C30" s="56" t="s">
        <v>37</v>
      </c>
      <c r="D30" s="57" t="s">
        <v>45</v>
      </c>
      <c r="E30" s="56" t="s">
        <v>46</v>
      </c>
      <c r="F30" s="58" t="s">
        <v>47</v>
      </c>
      <c r="G30" s="48" t="s">
        <v>48</v>
      </c>
      <c r="H30" s="3"/>
      <c r="I30" s="35">
        <f>KPIs!I4</f>
        <v>1.5</v>
      </c>
      <c r="J30" s="3"/>
    </row>
    <row r="31" ht="21.75" customHeight="1">
      <c r="B31" s="59">
        <f>Presupuesto!B2</f>
        <v>120730.72</v>
      </c>
      <c r="C31" s="60">
        <f>Presupuesto!B3</f>
        <v>31325.58</v>
      </c>
      <c r="D31" s="61">
        <f>Presupuesto!B5</f>
        <v>93360</v>
      </c>
      <c r="E31" s="60">
        <f>Presupuesto!B6</f>
        <v>90175.2</v>
      </c>
      <c r="F31" s="62">
        <f>Presupuesto!B7</f>
        <v>-239413.53</v>
      </c>
      <c r="G31" s="44" t="s">
        <v>49</v>
      </c>
      <c r="H31" s="3"/>
      <c r="I31" s="31">
        <f>KPIs!I8</f>
        <v>0.9183673469</v>
      </c>
      <c r="J31" s="3"/>
    </row>
    <row r="32" ht="6.0" customHeight="1"/>
    <row r="33" ht="3.75" customHeight="1">
      <c r="B33" s="25"/>
      <c r="C33" s="25"/>
      <c r="D33" s="25"/>
      <c r="E33" s="25"/>
      <c r="F33" s="25"/>
      <c r="G33" s="25"/>
      <c r="H33" s="25"/>
      <c r="I33" s="25"/>
      <c r="J33" s="25"/>
    </row>
    <row r="34" ht="21.75" customHeight="1">
      <c r="B34" s="26" t="s">
        <v>50</v>
      </c>
      <c r="C34" s="2"/>
      <c r="D34" s="2"/>
      <c r="E34" s="2"/>
      <c r="F34" s="2"/>
      <c r="G34" s="2"/>
      <c r="H34" s="2"/>
      <c r="I34" s="2"/>
      <c r="J34" s="3"/>
    </row>
    <row r="35" ht="18.0" customHeight="1">
      <c r="B35" s="27" t="s">
        <v>51</v>
      </c>
      <c r="C35" s="3"/>
      <c r="D35" s="28" t="s">
        <v>52</v>
      </c>
      <c r="E35" s="28" t="s">
        <v>53</v>
      </c>
      <c r="F35" s="27" t="s">
        <v>54</v>
      </c>
      <c r="G35" s="2"/>
      <c r="H35" s="3"/>
      <c r="I35" s="28" t="s">
        <v>55</v>
      </c>
      <c r="J35" s="28" t="s">
        <v>17</v>
      </c>
    </row>
    <row r="36" ht="21.75" customHeight="1">
      <c r="B36" s="63" t="s">
        <v>56</v>
      </c>
      <c r="C36" s="3"/>
      <c r="D36" s="64" t="s">
        <v>57</v>
      </c>
      <c r="E36" s="65" t="s">
        <v>58</v>
      </c>
      <c r="F36" s="63" t="s">
        <v>59</v>
      </c>
      <c r="G36" s="2"/>
      <c r="H36" s="3"/>
      <c r="I36" s="65" t="s">
        <v>60</v>
      </c>
      <c r="J36" s="65" t="s">
        <v>61</v>
      </c>
    </row>
    <row r="37" ht="21.75" customHeight="1">
      <c r="B37" s="63" t="s">
        <v>62</v>
      </c>
      <c r="C37" s="3"/>
      <c r="D37" s="64" t="s">
        <v>57</v>
      </c>
      <c r="E37" s="65" t="s">
        <v>63</v>
      </c>
      <c r="F37" s="63" t="s">
        <v>64</v>
      </c>
      <c r="G37" s="2"/>
      <c r="H37" s="3"/>
      <c r="I37" s="65" t="s">
        <v>65</v>
      </c>
      <c r="J37" s="65" t="s">
        <v>61</v>
      </c>
    </row>
    <row r="38" ht="21.75" customHeight="1">
      <c r="B38" s="66" t="s">
        <v>66</v>
      </c>
      <c r="C38" s="3"/>
      <c r="D38" s="67" t="s">
        <v>67</v>
      </c>
      <c r="E38" s="68" t="s">
        <v>68</v>
      </c>
      <c r="F38" s="66" t="s">
        <v>69</v>
      </c>
      <c r="G38" s="2"/>
      <c r="H38" s="3"/>
      <c r="I38" s="68" t="s">
        <v>70</v>
      </c>
      <c r="J38" s="68" t="s">
        <v>61</v>
      </c>
    </row>
    <row r="39" ht="21.75" customHeight="1">
      <c r="B39" s="63" t="s">
        <v>71</v>
      </c>
      <c r="C39" s="3"/>
      <c r="D39" s="64" t="s">
        <v>57</v>
      </c>
      <c r="E39" s="65" t="s">
        <v>72</v>
      </c>
      <c r="F39" s="63" t="s">
        <v>73</v>
      </c>
      <c r="G39" s="2"/>
      <c r="H39" s="3"/>
      <c r="I39" s="65" t="s">
        <v>70</v>
      </c>
      <c r="J39" s="65" t="s">
        <v>74</v>
      </c>
    </row>
    <row r="40" ht="21.75" customHeight="1">
      <c r="B40" s="66" t="s">
        <v>75</v>
      </c>
      <c r="C40" s="3"/>
      <c r="D40" s="67" t="s">
        <v>67</v>
      </c>
      <c r="E40" s="68" t="s">
        <v>76</v>
      </c>
      <c r="F40" s="66" t="s">
        <v>77</v>
      </c>
      <c r="G40" s="2"/>
      <c r="H40" s="3"/>
      <c r="I40" s="68" t="s">
        <v>70</v>
      </c>
      <c r="J40" s="68" t="s">
        <v>74</v>
      </c>
    </row>
    <row r="41" ht="6.0" customHeight="1"/>
    <row r="42" ht="18.0" customHeight="1">
      <c r="B42" s="69" t="s">
        <v>78</v>
      </c>
      <c r="C42" s="2"/>
      <c r="D42" s="2"/>
      <c r="E42" s="2"/>
      <c r="F42" s="2"/>
      <c r="G42" s="2"/>
      <c r="H42" s="2"/>
      <c r="I42" s="2"/>
      <c r="J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0">
    <mergeCell ref="B17:C17"/>
    <mergeCell ref="B18:C18"/>
    <mergeCell ref="B19:C19"/>
    <mergeCell ref="D18:E18"/>
    <mergeCell ref="D19:E19"/>
    <mergeCell ref="B23:F23"/>
    <mergeCell ref="B24:C24"/>
    <mergeCell ref="D24:E24"/>
    <mergeCell ref="B25:C25"/>
    <mergeCell ref="D25:E25"/>
    <mergeCell ref="B26:C26"/>
    <mergeCell ref="D26:E26"/>
    <mergeCell ref="G26:H26"/>
    <mergeCell ref="I26:J26"/>
    <mergeCell ref="D27:E27"/>
    <mergeCell ref="G27:H27"/>
    <mergeCell ref="I27:J27"/>
    <mergeCell ref="B27:C27"/>
    <mergeCell ref="B28:C28"/>
    <mergeCell ref="D28:E28"/>
    <mergeCell ref="G28:H28"/>
    <mergeCell ref="I28:J28"/>
    <mergeCell ref="G29:H29"/>
    <mergeCell ref="I29:J29"/>
    <mergeCell ref="F36:H36"/>
    <mergeCell ref="F37:H37"/>
    <mergeCell ref="G30:H30"/>
    <mergeCell ref="I30:J30"/>
    <mergeCell ref="G31:H31"/>
    <mergeCell ref="I31:J31"/>
    <mergeCell ref="B34:J34"/>
    <mergeCell ref="F35:H35"/>
    <mergeCell ref="B1:J1"/>
    <mergeCell ref="B6:C6"/>
    <mergeCell ref="D6:E6"/>
    <mergeCell ref="G6:H6"/>
    <mergeCell ref="I6:J6"/>
    <mergeCell ref="B2:J3"/>
    <mergeCell ref="B7:C7"/>
    <mergeCell ref="D7:E7"/>
    <mergeCell ref="G7:H7"/>
    <mergeCell ref="I7:J7"/>
    <mergeCell ref="B8:C8"/>
    <mergeCell ref="G8:H8"/>
    <mergeCell ref="I8:J8"/>
    <mergeCell ref="D8:E8"/>
    <mergeCell ref="B11:F11"/>
    <mergeCell ref="G11:J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D17:E17"/>
    <mergeCell ref="G24:H24"/>
    <mergeCell ref="I24:J24"/>
    <mergeCell ref="G25:H25"/>
    <mergeCell ref="I25:J25"/>
    <mergeCell ref="G12:J12"/>
    <mergeCell ref="G13:J13"/>
    <mergeCell ref="G15:J15"/>
    <mergeCell ref="G16:J16"/>
    <mergeCell ref="G18:J18"/>
    <mergeCell ref="G19:J19"/>
    <mergeCell ref="G23:J23"/>
    <mergeCell ref="F39:H39"/>
    <mergeCell ref="F40:H40"/>
    <mergeCell ref="B35:C35"/>
    <mergeCell ref="B36:C36"/>
    <mergeCell ref="B37:C37"/>
    <mergeCell ref="B38:C38"/>
    <mergeCell ref="F38:H38"/>
    <mergeCell ref="B39:C39"/>
    <mergeCell ref="B40:C40"/>
    <mergeCell ref="B42:J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40.0"/>
    <col customWidth="1" min="4" max="4" width="18.0"/>
    <col customWidth="1" min="5" max="26" width="8.71"/>
  </cols>
  <sheetData>
    <row r="1" ht="21.75" customHeight="1">
      <c r="A1" s="70" t="s">
        <v>79</v>
      </c>
      <c r="B1" s="70" t="s">
        <v>80</v>
      </c>
      <c r="C1" s="70" t="s">
        <v>81</v>
      </c>
      <c r="D1" s="70" t="s">
        <v>82</v>
      </c>
    </row>
    <row r="2">
      <c r="A2" s="71" t="s">
        <v>83</v>
      </c>
      <c r="B2" s="71" t="s">
        <v>84</v>
      </c>
      <c r="C2" s="71" t="s">
        <v>85</v>
      </c>
      <c r="D2" s="71" t="s">
        <v>86</v>
      </c>
    </row>
    <row r="3">
      <c r="A3" s="72" t="s">
        <v>87</v>
      </c>
      <c r="B3" s="72" t="s">
        <v>88</v>
      </c>
      <c r="C3" s="72" t="s">
        <v>89</v>
      </c>
      <c r="D3" s="72" t="s">
        <v>86</v>
      </c>
    </row>
    <row r="4">
      <c r="A4" s="71" t="s">
        <v>90</v>
      </c>
      <c r="B4" s="73">
        <v>120730.72</v>
      </c>
      <c r="C4" s="71" t="s">
        <v>91</v>
      </c>
      <c r="D4" s="71" t="s">
        <v>92</v>
      </c>
    </row>
    <row r="5">
      <c r="A5" s="72" t="s">
        <v>37</v>
      </c>
      <c r="B5" s="74">
        <v>31325.58</v>
      </c>
      <c r="C5" s="72" t="s">
        <v>93</v>
      </c>
      <c r="D5" s="72" t="s">
        <v>92</v>
      </c>
    </row>
    <row r="6">
      <c r="A6" s="71" t="s">
        <v>94</v>
      </c>
      <c r="B6" s="73">
        <v>90175.2</v>
      </c>
      <c r="C6" s="71" t="s">
        <v>95</v>
      </c>
      <c r="D6" s="71" t="s">
        <v>96</v>
      </c>
    </row>
    <row r="7">
      <c r="A7" s="72" t="s">
        <v>97</v>
      </c>
      <c r="B7" s="75">
        <v>-239413.53</v>
      </c>
      <c r="C7" s="72" t="s">
        <v>98</v>
      </c>
      <c r="D7" s="72" t="s">
        <v>96</v>
      </c>
    </row>
    <row r="8">
      <c r="A8" s="71" t="s">
        <v>99</v>
      </c>
      <c r="B8" s="71" t="s">
        <v>100</v>
      </c>
      <c r="C8" s="71" t="s">
        <v>101</v>
      </c>
      <c r="D8" s="71" t="s">
        <v>102</v>
      </c>
    </row>
    <row r="9">
      <c r="A9" s="72" t="s">
        <v>103</v>
      </c>
      <c r="B9" s="72" t="s">
        <v>104</v>
      </c>
      <c r="C9" s="72" t="s">
        <v>105</v>
      </c>
      <c r="D9" s="72" t="s">
        <v>102</v>
      </c>
    </row>
    <row r="10">
      <c r="A10" s="71" t="s">
        <v>106</v>
      </c>
      <c r="B10" s="71">
        <v>360.0</v>
      </c>
      <c r="C10" s="71" t="s">
        <v>107</v>
      </c>
      <c r="D10" s="71" t="s">
        <v>108</v>
      </c>
    </row>
    <row r="11">
      <c r="A11" s="72" t="s">
        <v>109</v>
      </c>
      <c r="B11" s="72">
        <v>70.0</v>
      </c>
      <c r="C11" s="72" t="s">
        <v>110</v>
      </c>
      <c r="D11" s="72" t="s">
        <v>108</v>
      </c>
    </row>
    <row r="12">
      <c r="A12" s="71" t="s">
        <v>111</v>
      </c>
      <c r="B12" s="71">
        <v>8.0</v>
      </c>
      <c r="C12" s="71" t="s">
        <v>112</v>
      </c>
      <c r="D12" s="71" t="s">
        <v>108</v>
      </c>
    </row>
    <row r="13">
      <c r="A13" s="72" t="s">
        <v>113</v>
      </c>
      <c r="B13" s="72">
        <v>2880.0</v>
      </c>
      <c r="C13" s="72" t="s">
        <v>114</v>
      </c>
      <c r="D13" s="72" t="s">
        <v>108</v>
      </c>
    </row>
    <row r="14">
      <c r="A14" s="71" t="s">
        <v>115</v>
      </c>
      <c r="B14" s="71">
        <v>560.0</v>
      </c>
      <c r="C14" s="71" t="s">
        <v>116</v>
      </c>
      <c r="D14" s="71" t="s">
        <v>108</v>
      </c>
    </row>
    <row r="15">
      <c r="A15" s="72" t="s">
        <v>117</v>
      </c>
      <c r="B15" s="72">
        <v>2320.0</v>
      </c>
      <c r="C15" s="72" t="s">
        <v>118</v>
      </c>
      <c r="D15" s="72" t="s">
        <v>108</v>
      </c>
    </row>
    <row r="16">
      <c r="A16" s="71" t="s">
        <v>119</v>
      </c>
      <c r="B16" s="76">
        <v>0.1944</v>
      </c>
      <c r="C16" s="71" t="s">
        <v>120</v>
      </c>
      <c r="D16" s="71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4" width="13.0"/>
    <col customWidth="1" min="5" max="5" width="7.0"/>
    <col customWidth="1" min="6" max="6" width="14.0"/>
    <col customWidth="1" min="7" max="7" width="15.0"/>
    <col customWidth="1" min="8" max="8" width="13.0"/>
    <col customWidth="1" min="9" max="9" width="12.0"/>
    <col customWidth="1" min="10" max="10" width="28.0"/>
    <col customWidth="1" min="11" max="26" width="8.71"/>
  </cols>
  <sheetData>
    <row r="1" ht="21.75" customHeight="1">
      <c r="A1" s="70" t="s">
        <v>121</v>
      </c>
      <c r="B1" s="70" t="s">
        <v>122</v>
      </c>
      <c r="C1" s="70" t="s">
        <v>123</v>
      </c>
      <c r="D1" s="70" t="s">
        <v>124</v>
      </c>
      <c r="E1" s="70" t="s">
        <v>125</v>
      </c>
      <c r="F1" s="70" t="s">
        <v>126</v>
      </c>
      <c r="G1" s="70" t="s">
        <v>127</v>
      </c>
      <c r="H1" s="70" t="s">
        <v>128</v>
      </c>
      <c r="I1" s="70" t="s">
        <v>129</v>
      </c>
      <c r="J1" s="70" t="s">
        <v>130</v>
      </c>
    </row>
    <row r="2">
      <c r="A2" s="77" t="s">
        <v>131</v>
      </c>
      <c r="B2" s="71" t="s">
        <v>19</v>
      </c>
      <c r="C2" s="78">
        <v>46083.0</v>
      </c>
      <c r="D2" s="78">
        <v>46108.0</v>
      </c>
      <c r="E2" s="79">
        <f t="shared" ref="E2:E8" si="1">D2-C2+1</f>
        <v>26</v>
      </c>
      <c r="F2" s="80">
        <v>1.0</v>
      </c>
      <c r="G2" s="80">
        <v>1.0</v>
      </c>
      <c r="H2" s="77" t="str">
        <f t="shared" ref="H2:H8" si="2">IF(F2&gt;=G2,"Finalizado",IF(F2&gt;=0.7,"En curso","Atrasado"))</f>
        <v>Finalizado</v>
      </c>
      <c r="I2" s="77" t="s">
        <v>132</v>
      </c>
      <c r="J2" s="77" t="s">
        <v>133</v>
      </c>
    </row>
    <row r="3">
      <c r="A3" s="81" t="s">
        <v>134</v>
      </c>
      <c r="B3" s="72" t="s">
        <v>135</v>
      </c>
      <c r="C3" s="82">
        <v>46111.0</v>
      </c>
      <c r="D3" s="82">
        <v>46136.0</v>
      </c>
      <c r="E3" s="83">
        <f t="shared" si="1"/>
        <v>26</v>
      </c>
      <c r="F3" s="84">
        <v>1.0</v>
      </c>
      <c r="G3" s="84">
        <v>1.0</v>
      </c>
      <c r="H3" s="81" t="str">
        <f t="shared" si="2"/>
        <v>Finalizado</v>
      </c>
      <c r="I3" s="81" t="s">
        <v>132</v>
      </c>
      <c r="J3" s="81" t="s">
        <v>136</v>
      </c>
    </row>
    <row r="4">
      <c r="A4" s="77" t="s">
        <v>137</v>
      </c>
      <c r="B4" s="71" t="s">
        <v>138</v>
      </c>
      <c r="C4" s="78">
        <v>46139.0</v>
      </c>
      <c r="D4" s="78">
        <v>46171.0</v>
      </c>
      <c r="E4" s="79">
        <f t="shared" si="1"/>
        <v>33</v>
      </c>
      <c r="F4" s="80">
        <v>0.9</v>
      </c>
      <c r="G4" s="80">
        <v>1.0</v>
      </c>
      <c r="H4" s="77" t="str">
        <f t="shared" si="2"/>
        <v>En curso</v>
      </c>
      <c r="I4" s="77" t="s">
        <v>132</v>
      </c>
      <c r="J4" s="77" t="s">
        <v>139</v>
      </c>
    </row>
    <row r="5">
      <c r="A5" s="81" t="s">
        <v>140</v>
      </c>
      <c r="B5" s="72" t="s">
        <v>23</v>
      </c>
      <c r="C5" s="82">
        <v>46174.0</v>
      </c>
      <c r="D5" s="82">
        <v>46262.0</v>
      </c>
      <c r="E5" s="83">
        <f t="shared" si="1"/>
        <v>89</v>
      </c>
      <c r="F5" s="84">
        <v>0.45</v>
      </c>
      <c r="G5" s="84">
        <v>1.0</v>
      </c>
      <c r="H5" s="81" t="str">
        <f t="shared" si="2"/>
        <v>Atrasado</v>
      </c>
      <c r="I5" s="81" t="s">
        <v>132</v>
      </c>
      <c r="J5" s="81" t="s">
        <v>141</v>
      </c>
    </row>
    <row r="6">
      <c r="A6" s="77" t="s">
        <v>142</v>
      </c>
      <c r="B6" s="71" t="s">
        <v>143</v>
      </c>
      <c r="C6" s="78">
        <v>46188.0</v>
      </c>
      <c r="D6" s="78">
        <v>46276.0</v>
      </c>
      <c r="E6" s="79">
        <f t="shared" si="1"/>
        <v>89</v>
      </c>
      <c r="F6" s="80">
        <v>0.35</v>
      </c>
      <c r="G6" s="80">
        <v>1.0</v>
      </c>
      <c r="H6" s="77" t="str">
        <f t="shared" si="2"/>
        <v>Atrasado</v>
      </c>
      <c r="I6" s="77" t="s">
        <v>144</v>
      </c>
      <c r="J6" s="77" t="s">
        <v>145</v>
      </c>
    </row>
    <row r="7">
      <c r="A7" s="81" t="s">
        <v>146</v>
      </c>
      <c r="B7" s="72" t="s">
        <v>147</v>
      </c>
      <c r="C7" s="82">
        <v>46279.0</v>
      </c>
      <c r="D7" s="82">
        <v>46325.0</v>
      </c>
      <c r="E7" s="83">
        <f t="shared" si="1"/>
        <v>47</v>
      </c>
      <c r="F7" s="84">
        <v>0.15</v>
      </c>
      <c r="G7" s="84">
        <v>1.0</v>
      </c>
      <c r="H7" s="81" t="str">
        <f t="shared" si="2"/>
        <v>Atrasado</v>
      </c>
      <c r="I7" s="81" t="s">
        <v>132</v>
      </c>
      <c r="J7" s="81" t="s">
        <v>148</v>
      </c>
    </row>
    <row r="8">
      <c r="A8" s="77" t="s">
        <v>149</v>
      </c>
      <c r="B8" s="71" t="s">
        <v>150</v>
      </c>
      <c r="C8" s="78">
        <v>46328.0</v>
      </c>
      <c r="D8" s="78">
        <v>46356.0</v>
      </c>
      <c r="E8" s="79">
        <f t="shared" si="1"/>
        <v>29</v>
      </c>
      <c r="F8" s="80">
        <v>0.05</v>
      </c>
      <c r="G8" s="80">
        <v>1.0</v>
      </c>
      <c r="H8" s="77" t="str">
        <f t="shared" si="2"/>
        <v>Atrasado</v>
      </c>
      <c r="I8" s="77" t="s">
        <v>132</v>
      </c>
      <c r="J8" s="77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28.0"/>
    <col customWidth="1" min="4" max="4" width="10.0"/>
    <col customWidth="1" min="5" max="5" width="8.0"/>
    <col customWidth="1" min="6" max="6" width="10.0"/>
    <col customWidth="1" min="7" max="7" width="16.0"/>
    <col customWidth="1" min="8" max="8" width="12.0"/>
    <col customWidth="1" min="9" max="9" width="14.0"/>
    <col customWidth="1" min="10" max="10" width="35.0"/>
    <col customWidth="1" min="11" max="26" width="8.71"/>
  </cols>
  <sheetData>
    <row r="1" ht="21.75" customHeight="1">
      <c r="A1" s="70" t="s">
        <v>121</v>
      </c>
      <c r="B1" s="70" t="s">
        <v>33</v>
      </c>
      <c r="C1" s="70" t="s">
        <v>152</v>
      </c>
      <c r="D1" s="70" t="s">
        <v>153</v>
      </c>
      <c r="E1" s="70" t="s">
        <v>154</v>
      </c>
      <c r="F1" s="70" t="s">
        <v>155</v>
      </c>
      <c r="G1" s="70" t="s">
        <v>156</v>
      </c>
      <c r="H1" s="70" t="s">
        <v>128</v>
      </c>
      <c r="I1" s="70" t="s">
        <v>157</v>
      </c>
      <c r="J1" s="70" t="s">
        <v>158</v>
      </c>
    </row>
    <row r="2">
      <c r="A2" s="77" t="s">
        <v>159</v>
      </c>
      <c r="B2" s="71" t="s">
        <v>160</v>
      </c>
      <c r="C2" s="85" t="s">
        <v>161</v>
      </c>
      <c r="D2" s="80">
        <v>0.45</v>
      </c>
      <c r="E2" s="80">
        <v>0.85</v>
      </c>
      <c r="F2" s="77" t="s">
        <v>162</v>
      </c>
      <c r="G2" s="77" t="s">
        <v>163</v>
      </c>
      <c r="H2" s="77" t="str">
        <f t="shared" ref="H2:H9" si="1">IF(G2="Mayor es mejor",IF(D2&gt;=E2,"Verde",IF(D2&gt;=E2*0.8,"Amarillo","Rojo")),IF(D2&lt;=E2,"Verde",IF(D2&lt;=E2*1.33,"Amarillo","Rojo")))</f>
        <v>Rojo</v>
      </c>
      <c r="I2" s="80">
        <f t="shared" ref="I2:I9" si="2">IF(G2="Mayor es mejor",IF(E2=0,0,D2/E2),IF(D2=0,0,E2/D2))</f>
        <v>0.5294117647</v>
      </c>
      <c r="J2" s="85" t="s">
        <v>164</v>
      </c>
    </row>
    <row r="3">
      <c r="A3" s="81" t="s">
        <v>165</v>
      </c>
      <c r="B3" s="72" t="s">
        <v>166</v>
      </c>
      <c r="C3" s="86" t="s">
        <v>167</v>
      </c>
      <c r="D3" s="84">
        <v>0.8</v>
      </c>
      <c r="E3" s="84">
        <v>0.85</v>
      </c>
      <c r="F3" s="81" t="s">
        <v>162</v>
      </c>
      <c r="G3" s="81" t="s">
        <v>163</v>
      </c>
      <c r="H3" s="81" t="str">
        <f t="shared" si="1"/>
        <v>Amarillo</v>
      </c>
      <c r="I3" s="84">
        <f t="shared" si="2"/>
        <v>0.9411764706</v>
      </c>
      <c r="J3" s="86" t="s">
        <v>164</v>
      </c>
    </row>
    <row r="4">
      <c r="A4" s="77" t="s">
        <v>168</v>
      </c>
      <c r="B4" s="71" t="s">
        <v>169</v>
      </c>
      <c r="C4" s="85" t="s">
        <v>170</v>
      </c>
      <c r="D4" s="77">
        <v>2.0</v>
      </c>
      <c r="E4" s="77">
        <v>3.0</v>
      </c>
      <c r="F4" s="77" t="s">
        <v>171</v>
      </c>
      <c r="G4" s="77" t="s">
        <v>172</v>
      </c>
      <c r="H4" s="77" t="str">
        <f t="shared" si="1"/>
        <v>Verde</v>
      </c>
      <c r="I4" s="80">
        <f t="shared" si="2"/>
        <v>1.5</v>
      </c>
      <c r="J4" s="85" t="s">
        <v>173</v>
      </c>
    </row>
    <row r="5">
      <c r="A5" s="81" t="s">
        <v>174</v>
      </c>
      <c r="B5" s="72" t="s">
        <v>175</v>
      </c>
      <c r="C5" s="86" t="s">
        <v>176</v>
      </c>
      <c r="D5" s="84">
        <v>0.6</v>
      </c>
      <c r="E5" s="84">
        <v>1.0</v>
      </c>
      <c r="F5" s="81" t="s">
        <v>162</v>
      </c>
      <c r="G5" s="81" t="s">
        <v>163</v>
      </c>
      <c r="H5" s="81" t="str">
        <f t="shared" si="1"/>
        <v>Rojo</v>
      </c>
      <c r="I5" s="84">
        <f t="shared" si="2"/>
        <v>0.6</v>
      </c>
      <c r="J5" s="86" t="s">
        <v>177</v>
      </c>
    </row>
    <row r="6">
      <c r="A6" s="77" t="s">
        <v>178</v>
      </c>
      <c r="B6" s="71" t="s">
        <v>24</v>
      </c>
      <c r="C6" s="85" t="s">
        <v>179</v>
      </c>
      <c r="D6" s="80">
        <v>0.5</v>
      </c>
      <c r="E6" s="80">
        <v>1.0</v>
      </c>
      <c r="F6" s="77" t="s">
        <v>162</v>
      </c>
      <c r="G6" s="77" t="s">
        <v>163</v>
      </c>
      <c r="H6" s="77" t="str">
        <f t="shared" si="1"/>
        <v>Rojo</v>
      </c>
      <c r="I6" s="80">
        <f t="shared" si="2"/>
        <v>0.5</v>
      </c>
      <c r="J6" s="85" t="s">
        <v>180</v>
      </c>
    </row>
    <row r="7">
      <c r="A7" s="81" t="s">
        <v>181</v>
      </c>
      <c r="B7" s="72" t="s">
        <v>182</v>
      </c>
      <c r="C7" s="86" t="s">
        <v>183</v>
      </c>
      <c r="D7" s="84">
        <v>0.8</v>
      </c>
      <c r="E7" s="84">
        <v>1.0</v>
      </c>
      <c r="F7" s="81" t="s">
        <v>162</v>
      </c>
      <c r="G7" s="81" t="s">
        <v>163</v>
      </c>
      <c r="H7" s="81" t="str">
        <f t="shared" si="1"/>
        <v>Amarillo</v>
      </c>
      <c r="I7" s="84">
        <f t="shared" si="2"/>
        <v>0.8</v>
      </c>
      <c r="J7" s="86" t="s">
        <v>184</v>
      </c>
    </row>
    <row r="8">
      <c r="A8" s="77" t="s">
        <v>185</v>
      </c>
      <c r="B8" s="71" t="s">
        <v>186</v>
      </c>
      <c r="C8" s="85" t="s">
        <v>187</v>
      </c>
      <c r="D8" s="80">
        <v>0.9</v>
      </c>
      <c r="E8" s="80">
        <v>0.98</v>
      </c>
      <c r="F8" s="77" t="s">
        <v>162</v>
      </c>
      <c r="G8" s="77" t="s">
        <v>163</v>
      </c>
      <c r="H8" s="77" t="str">
        <f t="shared" si="1"/>
        <v>Amarillo</v>
      </c>
      <c r="I8" s="80">
        <f t="shared" si="2"/>
        <v>0.9183673469</v>
      </c>
      <c r="J8" s="85" t="s">
        <v>188</v>
      </c>
    </row>
    <row r="9">
      <c r="A9" s="81" t="s">
        <v>189</v>
      </c>
      <c r="B9" s="72" t="s">
        <v>190</v>
      </c>
      <c r="C9" s="86" t="s">
        <v>191</v>
      </c>
      <c r="D9" s="81">
        <v>72.0</v>
      </c>
      <c r="E9" s="81">
        <v>72.0</v>
      </c>
      <c r="F9" s="81" t="s">
        <v>192</v>
      </c>
      <c r="G9" s="81" t="s">
        <v>172</v>
      </c>
      <c r="H9" s="81" t="str">
        <f t="shared" si="1"/>
        <v>Verde</v>
      </c>
      <c r="I9" s="84">
        <f t="shared" si="2"/>
        <v>1</v>
      </c>
      <c r="J9" s="86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5.0"/>
    <col customWidth="1" min="4" max="4" width="13.0"/>
    <col customWidth="1" min="5" max="6" width="9.0"/>
    <col customWidth="1" min="7" max="7" width="12.0"/>
    <col customWidth="1" min="8" max="9" width="28.0"/>
    <col customWidth="1" min="10" max="10" width="16.0"/>
    <col customWidth="1" min="11" max="11" width="24.0"/>
    <col customWidth="1" min="12" max="26" width="8.71"/>
  </cols>
  <sheetData>
    <row r="1" ht="21.75" customHeight="1">
      <c r="A1" s="70" t="s">
        <v>121</v>
      </c>
      <c r="B1" s="70" t="s">
        <v>194</v>
      </c>
      <c r="C1" s="70" t="s">
        <v>195</v>
      </c>
      <c r="D1" s="70" t="s">
        <v>196</v>
      </c>
      <c r="E1" s="70" t="s">
        <v>197</v>
      </c>
      <c r="F1" s="70" t="s">
        <v>198</v>
      </c>
      <c r="G1" s="70" t="s">
        <v>199</v>
      </c>
      <c r="H1" s="70" t="s">
        <v>200</v>
      </c>
      <c r="I1" s="70" t="s">
        <v>201</v>
      </c>
      <c r="J1" s="70" t="s">
        <v>202</v>
      </c>
      <c r="K1" s="70" t="s">
        <v>203</v>
      </c>
    </row>
    <row r="2">
      <c r="A2" s="77" t="s">
        <v>63</v>
      </c>
      <c r="B2" s="71" t="s">
        <v>204</v>
      </c>
      <c r="C2" s="77" t="s">
        <v>205</v>
      </c>
      <c r="D2" s="87">
        <v>0.8</v>
      </c>
      <c r="E2" s="77">
        <v>3.0</v>
      </c>
      <c r="F2" s="87">
        <f t="shared" ref="F2:F11" si="1">D2*E2</f>
        <v>2.4</v>
      </c>
      <c r="G2" s="77" t="str">
        <f t="shared" ref="G2:G11" si="2">IF(F2&gt;=1.8,"Rojo",IF(F2&gt;=1,"Amarillo","Verde"))</f>
        <v>Rojo</v>
      </c>
      <c r="H2" s="85" t="s">
        <v>206</v>
      </c>
      <c r="I2" s="85" t="s">
        <v>207</v>
      </c>
      <c r="J2" s="71" t="s">
        <v>208</v>
      </c>
      <c r="K2" s="85" t="s">
        <v>209</v>
      </c>
    </row>
    <row r="3">
      <c r="A3" s="81" t="s">
        <v>210</v>
      </c>
      <c r="B3" s="72" t="s">
        <v>211</v>
      </c>
      <c r="C3" s="81" t="s">
        <v>212</v>
      </c>
      <c r="D3" s="88">
        <v>0.8</v>
      </c>
      <c r="E3" s="81">
        <v>2.0</v>
      </c>
      <c r="F3" s="88">
        <f t="shared" si="1"/>
        <v>1.6</v>
      </c>
      <c r="G3" s="81" t="str">
        <f t="shared" si="2"/>
        <v>Amarillo</v>
      </c>
      <c r="H3" s="86" t="s">
        <v>213</v>
      </c>
      <c r="I3" s="86" t="s">
        <v>214</v>
      </c>
      <c r="J3" s="72" t="s">
        <v>215</v>
      </c>
      <c r="K3" s="86" t="s">
        <v>216</v>
      </c>
    </row>
    <row r="4">
      <c r="A4" s="77" t="s">
        <v>58</v>
      </c>
      <c r="B4" s="71" t="s">
        <v>217</v>
      </c>
      <c r="C4" s="77" t="s">
        <v>218</v>
      </c>
      <c r="D4" s="87">
        <v>0.7</v>
      </c>
      <c r="E4" s="77">
        <v>2.0</v>
      </c>
      <c r="F4" s="87">
        <f t="shared" si="1"/>
        <v>1.4</v>
      </c>
      <c r="G4" s="77" t="str">
        <f t="shared" si="2"/>
        <v>Amarillo</v>
      </c>
      <c r="H4" s="85" t="s">
        <v>219</v>
      </c>
      <c r="I4" s="85" t="s">
        <v>220</v>
      </c>
      <c r="J4" s="71" t="s">
        <v>60</v>
      </c>
      <c r="K4" s="85" t="s">
        <v>221</v>
      </c>
    </row>
    <row r="5">
      <c r="A5" s="81" t="s">
        <v>222</v>
      </c>
      <c r="B5" s="72" t="s">
        <v>223</v>
      </c>
      <c r="C5" s="81" t="s">
        <v>224</v>
      </c>
      <c r="D5" s="88">
        <v>0.6</v>
      </c>
      <c r="E5" s="81">
        <v>3.0</v>
      </c>
      <c r="F5" s="88">
        <f t="shared" si="1"/>
        <v>1.8</v>
      </c>
      <c r="G5" s="81" t="str">
        <f t="shared" si="2"/>
        <v>Rojo</v>
      </c>
      <c r="H5" s="86" t="s">
        <v>225</v>
      </c>
      <c r="I5" s="86" t="s">
        <v>226</v>
      </c>
      <c r="J5" s="72" t="s">
        <v>227</v>
      </c>
      <c r="K5" s="86" t="s">
        <v>228</v>
      </c>
    </row>
    <row r="6">
      <c r="A6" s="77" t="s">
        <v>229</v>
      </c>
      <c r="B6" s="71" t="s">
        <v>230</v>
      </c>
      <c r="C6" s="77" t="s">
        <v>231</v>
      </c>
      <c r="D6" s="87">
        <v>0.6</v>
      </c>
      <c r="E6" s="77">
        <v>2.0</v>
      </c>
      <c r="F6" s="87">
        <f t="shared" si="1"/>
        <v>1.2</v>
      </c>
      <c r="G6" s="77" t="str">
        <f t="shared" si="2"/>
        <v>Amarillo</v>
      </c>
      <c r="H6" s="85" t="s">
        <v>232</v>
      </c>
      <c r="I6" s="85" t="s">
        <v>233</v>
      </c>
      <c r="J6" s="71" t="s">
        <v>60</v>
      </c>
      <c r="K6" s="85" t="s">
        <v>234</v>
      </c>
    </row>
    <row r="7">
      <c r="A7" s="81" t="s">
        <v>235</v>
      </c>
      <c r="B7" s="72" t="s">
        <v>236</v>
      </c>
      <c r="C7" s="81" t="s">
        <v>237</v>
      </c>
      <c r="D7" s="88">
        <v>0.5</v>
      </c>
      <c r="E7" s="81">
        <v>2.0</v>
      </c>
      <c r="F7" s="88">
        <f t="shared" si="1"/>
        <v>1</v>
      </c>
      <c r="G7" s="81" t="str">
        <f t="shared" si="2"/>
        <v>Amarillo</v>
      </c>
      <c r="H7" s="86" t="s">
        <v>238</v>
      </c>
      <c r="I7" s="86" t="s">
        <v>239</v>
      </c>
      <c r="J7" s="72" t="s">
        <v>240</v>
      </c>
      <c r="K7" s="86" t="s">
        <v>241</v>
      </c>
    </row>
    <row r="8">
      <c r="A8" s="77" t="s">
        <v>242</v>
      </c>
      <c r="B8" s="71" t="s">
        <v>243</v>
      </c>
      <c r="C8" s="77" t="s">
        <v>92</v>
      </c>
      <c r="D8" s="87">
        <v>0.4</v>
      </c>
      <c r="E8" s="77">
        <v>3.0</v>
      </c>
      <c r="F8" s="87">
        <f t="shared" si="1"/>
        <v>1.2</v>
      </c>
      <c r="G8" s="77" t="str">
        <f t="shared" si="2"/>
        <v>Amarillo</v>
      </c>
      <c r="H8" s="85" t="s">
        <v>244</v>
      </c>
      <c r="I8" s="85" t="s">
        <v>245</v>
      </c>
      <c r="J8" s="71" t="s">
        <v>246</v>
      </c>
      <c r="K8" s="85" t="s">
        <v>247</v>
      </c>
    </row>
    <row r="9">
      <c r="A9" s="81" t="s">
        <v>248</v>
      </c>
      <c r="B9" s="72" t="s">
        <v>249</v>
      </c>
      <c r="C9" s="81" t="s">
        <v>250</v>
      </c>
      <c r="D9" s="88">
        <v>0.35</v>
      </c>
      <c r="E9" s="81">
        <v>3.0</v>
      </c>
      <c r="F9" s="88">
        <f t="shared" si="1"/>
        <v>1.05</v>
      </c>
      <c r="G9" s="81" t="str">
        <f t="shared" si="2"/>
        <v>Amarillo</v>
      </c>
      <c r="H9" s="86" t="s">
        <v>251</v>
      </c>
      <c r="I9" s="86" t="s">
        <v>252</v>
      </c>
      <c r="J9" s="72" t="s">
        <v>253</v>
      </c>
      <c r="K9" s="86" t="s">
        <v>254</v>
      </c>
    </row>
    <row r="10">
      <c r="A10" s="77" t="s">
        <v>255</v>
      </c>
      <c r="B10" s="71" t="s">
        <v>256</v>
      </c>
      <c r="C10" s="77" t="s">
        <v>257</v>
      </c>
      <c r="D10" s="87">
        <v>0.55</v>
      </c>
      <c r="E10" s="77">
        <v>2.0</v>
      </c>
      <c r="F10" s="87">
        <f t="shared" si="1"/>
        <v>1.1</v>
      </c>
      <c r="G10" s="77" t="str">
        <f t="shared" si="2"/>
        <v>Amarillo</v>
      </c>
      <c r="H10" s="85" t="s">
        <v>258</v>
      </c>
      <c r="I10" s="85" t="s">
        <v>259</v>
      </c>
      <c r="J10" s="71" t="s">
        <v>260</v>
      </c>
      <c r="K10" s="85" t="s">
        <v>261</v>
      </c>
    </row>
    <row r="11">
      <c r="A11" s="81" t="s">
        <v>68</v>
      </c>
      <c r="B11" s="72" t="s">
        <v>262</v>
      </c>
      <c r="C11" s="81" t="s">
        <v>263</v>
      </c>
      <c r="D11" s="88">
        <v>0.45</v>
      </c>
      <c r="E11" s="81">
        <v>2.0</v>
      </c>
      <c r="F11" s="88">
        <f t="shared" si="1"/>
        <v>0.9</v>
      </c>
      <c r="G11" s="81" t="str">
        <f t="shared" si="2"/>
        <v>Verde</v>
      </c>
      <c r="H11" s="86" t="s">
        <v>264</v>
      </c>
      <c r="I11" s="86" t="s">
        <v>265</v>
      </c>
      <c r="J11" s="72" t="s">
        <v>70</v>
      </c>
      <c r="K11" s="86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4" width="18.0"/>
    <col customWidth="1" min="5" max="5" width="12.0"/>
    <col customWidth="1" min="6" max="6" width="26.0"/>
    <col customWidth="1" min="7" max="7" width="12.0"/>
    <col customWidth="1" min="8" max="8" width="52.0"/>
    <col customWidth="1" min="9" max="26" width="8.71"/>
  </cols>
  <sheetData>
    <row r="1" ht="27.75" customHeight="1">
      <c r="A1" s="89" t="s">
        <v>267</v>
      </c>
      <c r="B1" s="89" t="s">
        <v>268</v>
      </c>
      <c r="C1" s="89" t="s">
        <v>269</v>
      </c>
      <c r="D1" s="89" t="s">
        <v>270</v>
      </c>
      <c r="E1" s="89" t="s">
        <v>271</v>
      </c>
      <c r="F1" s="89" t="s">
        <v>156</v>
      </c>
      <c r="G1" s="89" t="s">
        <v>272</v>
      </c>
      <c r="H1" s="89" t="s">
        <v>273</v>
      </c>
    </row>
    <row r="2" ht="49.5" customHeight="1">
      <c r="A2" s="90" t="s">
        <v>274</v>
      </c>
      <c r="B2" s="91">
        <v>120730.72</v>
      </c>
      <c r="C2" s="91">
        <v>0.0</v>
      </c>
      <c r="D2" s="91">
        <f t="shared" ref="D2:D8" si="1">IF(ISNUMBER(C2),B2-C2,"No aplica")</f>
        <v>120730.72</v>
      </c>
      <c r="E2" s="92">
        <f t="shared" ref="E2:E8" si="2">IF(OR(C2="No aplica",B2=0),"No aplica",C2/B2)</f>
        <v>0</v>
      </c>
      <c r="F2" s="93" t="s">
        <v>275</v>
      </c>
      <c r="G2" s="94" t="s">
        <v>276</v>
      </c>
      <c r="H2" s="95" t="s">
        <v>277</v>
      </c>
    </row>
    <row r="3" ht="49.5" customHeight="1">
      <c r="A3" s="96" t="s">
        <v>37</v>
      </c>
      <c r="B3" s="97">
        <v>31325.58</v>
      </c>
      <c r="C3" s="97">
        <v>0.0</v>
      </c>
      <c r="D3" s="97">
        <f t="shared" si="1"/>
        <v>31325.58</v>
      </c>
      <c r="E3" s="98">
        <f t="shared" si="2"/>
        <v>0</v>
      </c>
      <c r="F3" s="99" t="s">
        <v>278</v>
      </c>
      <c r="G3" s="100" t="s">
        <v>276</v>
      </c>
      <c r="H3" s="101" t="s">
        <v>279</v>
      </c>
    </row>
    <row r="4" ht="49.5" customHeight="1">
      <c r="A4" s="102" t="s">
        <v>280</v>
      </c>
      <c r="B4" s="103">
        <v>2880.0</v>
      </c>
      <c r="C4" s="103">
        <v>560.0</v>
      </c>
      <c r="D4" s="103">
        <f t="shared" si="1"/>
        <v>2320</v>
      </c>
      <c r="E4" s="104">
        <f t="shared" si="2"/>
        <v>0.1944444444</v>
      </c>
      <c r="F4" s="105" t="s">
        <v>281</v>
      </c>
      <c r="G4" s="106" t="s">
        <v>282</v>
      </c>
      <c r="H4" s="107" t="s">
        <v>283</v>
      </c>
    </row>
    <row r="5" ht="49.5" customHeight="1">
      <c r="A5" s="108" t="s">
        <v>284</v>
      </c>
      <c r="B5" s="109">
        <v>93360.0</v>
      </c>
      <c r="C5" s="110" t="s">
        <v>285</v>
      </c>
      <c r="D5" s="109" t="str">
        <f t="shared" si="1"/>
        <v>No aplica</v>
      </c>
      <c r="E5" s="111" t="str">
        <f t="shared" si="2"/>
        <v>No aplica</v>
      </c>
      <c r="F5" s="112" t="s">
        <v>286</v>
      </c>
      <c r="G5" s="113" t="s">
        <v>287</v>
      </c>
      <c r="H5" s="114" t="s">
        <v>288</v>
      </c>
    </row>
    <row r="6" ht="49.5" customHeight="1">
      <c r="A6" s="115" t="s">
        <v>46</v>
      </c>
      <c r="B6" s="116">
        <v>90175.2</v>
      </c>
      <c r="C6" s="117" t="s">
        <v>285</v>
      </c>
      <c r="D6" s="116" t="str">
        <f t="shared" si="1"/>
        <v>No aplica</v>
      </c>
      <c r="E6" s="118" t="str">
        <f t="shared" si="2"/>
        <v>No aplica</v>
      </c>
      <c r="F6" s="119" t="s">
        <v>289</v>
      </c>
      <c r="G6" s="120" t="s">
        <v>287</v>
      </c>
      <c r="H6" s="121" t="s">
        <v>290</v>
      </c>
    </row>
    <row r="7" ht="49.5" customHeight="1">
      <c r="A7" s="115" t="s">
        <v>47</v>
      </c>
      <c r="B7" s="116">
        <v>-239413.53</v>
      </c>
      <c r="C7" s="117" t="s">
        <v>285</v>
      </c>
      <c r="D7" s="116" t="str">
        <f t="shared" si="1"/>
        <v>No aplica</v>
      </c>
      <c r="E7" s="118" t="str">
        <f t="shared" si="2"/>
        <v>No aplica</v>
      </c>
      <c r="F7" s="119" t="s">
        <v>289</v>
      </c>
      <c r="G7" s="120" t="s">
        <v>291</v>
      </c>
      <c r="H7" s="121" t="s">
        <v>292</v>
      </c>
    </row>
    <row r="8" ht="49.5" customHeight="1">
      <c r="A8" s="122" t="s">
        <v>293</v>
      </c>
      <c r="B8" s="123">
        <v>299115.53</v>
      </c>
      <c r="C8" s="123">
        <v>0.0</v>
      </c>
      <c r="D8" s="123">
        <f t="shared" si="1"/>
        <v>299115.53</v>
      </c>
      <c r="E8" s="124">
        <f t="shared" si="2"/>
        <v>0</v>
      </c>
      <c r="F8" s="125" t="s">
        <v>294</v>
      </c>
      <c r="G8" s="126" t="s">
        <v>291</v>
      </c>
      <c r="H8" s="127" t="s">
        <v>295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10.0"/>
    <col customWidth="1" min="4" max="4" width="14.0"/>
    <col customWidth="1" min="5" max="5" width="40.0"/>
    <col customWidth="1" min="6" max="6" width="15.0"/>
    <col customWidth="1" min="7" max="7" width="12.0"/>
    <col customWidth="1" min="8" max="26" width="8.71"/>
  </cols>
  <sheetData>
    <row r="1" ht="21.75" customHeight="1">
      <c r="A1" s="70" t="s">
        <v>121</v>
      </c>
      <c r="B1" s="70" t="s">
        <v>296</v>
      </c>
      <c r="C1" s="70" t="s">
        <v>297</v>
      </c>
      <c r="D1" s="70" t="s">
        <v>298</v>
      </c>
      <c r="E1" s="70" t="s">
        <v>299</v>
      </c>
      <c r="F1" s="70" t="s">
        <v>202</v>
      </c>
      <c r="G1" s="70" t="s">
        <v>128</v>
      </c>
    </row>
    <row r="2" ht="36.0" customHeight="1">
      <c r="A2" s="128" t="s">
        <v>300</v>
      </c>
      <c r="B2" s="129" t="s">
        <v>301</v>
      </c>
      <c r="C2" s="130" t="s">
        <v>57</v>
      </c>
      <c r="D2" s="128" t="s">
        <v>58</v>
      </c>
      <c r="E2" s="129" t="s">
        <v>302</v>
      </c>
      <c r="F2" s="128" t="s">
        <v>60</v>
      </c>
      <c r="G2" s="128" t="s">
        <v>61</v>
      </c>
    </row>
    <row r="3" ht="36.0" customHeight="1">
      <c r="A3" s="128" t="s">
        <v>303</v>
      </c>
      <c r="B3" s="129" t="s">
        <v>304</v>
      </c>
      <c r="C3" s="130" t="s">
        <v>57</v>
      </c>
      <c r="D3" s="128" t="s">
        <v>63</v>
      </c>
      <c r="E3" s="129" t="s">
        <v>64</v>
      </c>
      <c r="F3" s="128" t="s">
        <v>208</v>
      </c>
      <c r="G3" s="128" t="s">
        <v>61</v>
      </c>
    </row>
    <row r="4" ht="36.0" customHeight="1">
      <c r="A4" s="131" t="s">
        <v>305</v>
      </c>
      <c r="B4" s="132" t="s">
        <v>306</v>
      </c>
      <c r="C4" s="133" t="s">
        <v>67</v>
      </c>
      <c r="D4" s="131" t="s">
        <v>68</v>
      </c>
      <c r="E4" s="132" t="s">
        <v>307</v>
      </c>
      <c r="F4" s="131" t="s">
        <v>70</v>
      </c>
      <c r="G4" s="131" t="s">
        <v>61</v>
      </c>
    </row>
    <row r="5" ht="36.0" customHeight="1">
      <c r="A5" s="128" t="s">
        <v>308</v>
      </c>
      <c r="B5" s="129" t="s">
        <v>309</v>
      </c>
      <c r="C5" s="130" t="s">
        <v>57</v>
      </c>
      <c r="D5" s="128" t="s">
        <v>129</v>
      </c>
      <c r="E5" s="129" t="s">
        <v>310</v>
      </c>
      <c r="F5" s="128" t="s">
        <v>70</v>
      </c>
      <c r="G5" s="128" t="s">
        <v>74</v>
      </c>
    </row>
    <row r="6" ht="36.0" customHeight="1">
      <c r="A6" s="131" t="s">
        <v>311</v>
      </c>
      <c r="B6" s="132" t="s">
        <v>312</v>
      </c>
      <c r="C6" s="133" t="s">
        <v>67</v>
      </c>
      <c r="D6" s="131" t="s">
        <v>76</v>
      </c>
      <c r="E6" s="132" t="s">
        <v>77</v>
      </c>
      <c r="F6" s="131" t="s">
        <v>70</v>
      </c>
      <c r="G6" s="131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2026-06-17T22:17:21Z</dcterms:created>
  <dc:creator>openpyxl</dc:creator>
</cp:coreProperties>
</file>