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 Resumen" sheetId="1" r:id="rId5"/>
    <sheet state="visible" name="01 Supuestos" sheetId="2" r:id="rId6"/>
    <sheet state="visible" name="02 Topologia" sheetId="3" r:id="rId7"/>
    <sheet state="visible" name="03 CAPEX" sheetId="4" r:id="rId8"/>
    <sheet state="visible" name="04 OPEX" sheetId="5" r:id="rId9"/>
    <sheet state="visible" name="05 Depreciacion" sheetId="6" r:id="rId10"/>
    <sheet state="visible" name="06 EERR" sheetId="7" r:id="rId11"/>
    <sheet state="visible" name="07 EFE Cash Flow" sheetId="8" r:id="rId12"/>
    <sheet state="visible" name="08 VAN TIR" sheetId="9" r:id="rId13"/>
  </sheets>
  <definedNames/>
  <calcPr/>
</workbook>
</file>

<file path=xl/sharedStrings.xml><?xml version="1.0" encoding="utf-8"?>
<sst xmlns="http://schemas.openxmlformats.org/spreadsheetml/2006/main" count="590" uniqueCount="399">
  <si>
    <t>Topologia preliminar y dimensionamiento fisico</t>
  </si>
  <si>
    <t>CAPEX - Inversion inicial</t>
  </si>
  <si>
    <t>Supuestos del modelo</t>
  </si>
  <si>
    <t>Distribucion base de camaras, NAP, fibra y apoyos por sector</t>
  </si>
  <si>
    <t>Inputs tecnicos y financieros editables. Los valores hardcodeados estan en azul.</t>
  </si>
  <si>
    <t>Codigo</t>
  </si>
  <si>
    <t>Sector</t>
  </si>
  <si>
    <t>Analisis financiero - TESIS GPON Bernardo de Irigoyen</t>
  </si>
  <si>
    <t>Concepto</t>
  </si>
  <si>
    <t>Valor</t>
  </si>
  <si>
    <t>Criticidad</t>
  </si>
  <si>
    <t>Unidad</t>
  </si>
  <si>
    <t>Proyecto estatal de red FTTH/GPON para videovigilancia urbana</t>
  </si>
  <si>
    <t>Camaras</t>
  </si>
  <si>
    <t>Tipo</t>
  </si>
  <si>
    <t>Fuente / criterio</t>
  </si>
  <si>
    <t>ONT</t>
  </si>
  <si>
    <t>Notas</t>
  </si>
  <si>
    <t>NAP</t>
  </si>
  <si>
    <t>KPI</t>
  </si>
  <si>
    <t>Feeder km</t>
  </si>
  <si>
    <t>T01</t>
  </si>
  <si>
    <t>Distribucion km</t>
  </si>
  <si>
    <t>Drop km</t>
  </si>
  <si>
    <t>Fibra total km</t>
  </si>
  <si>
    <t>Cantidad de camaras IP</t>
  </si>
  <si>
    <t>Comentario</t>
  </si>
  <si>
    <t>Postes / apoyos</t>
  </si>
  <si>
    <t>Observaciones</t>
  </si>
  <si>
    <t>CAPEX total inicial</t>
  </si>
  <si>
    <t>Nodo central / municipio / centro de monitoreo</t>
  </si>
  <si>
    <t>Alta</t>
  </si>
  <si>
    <t>unid</t>
  </si>
  <si>
    <t>Input</t>
  </si>
  <si>
    <t>TESIS GPON + dimensionamiento por sectores criticos</t>
  </si>
  <si>
    <t>Modelo base de cobertura urbana y frontera seca</t>
  </si>
  <si>
    <t>T02</t>
  </si>
  <si>
    <t>ONT / ONU por camara</t>
  </si>
  <si>
    <t>Criterio tecnico</t>
  </si>
  <si>
    <t>Una ONT outdoor o ONU por punto de camara</t>
  </si>
  <si>
    <t>T03</t>
  </si>
  <si>
    <t>Camaras promedio por NAP</t>
  </si>
  <si>
    <t>Se deja capacidad libre para expansion</t>
  </si>
  <si>
    <t>T04</t>
  </si>
  <si>
    <t>Cajas NAP 1x8</t>
  </si>
  <si>
    <t>T01/T03 redondeado + reserva</t>
  </si>
  <si>
    <t>8 NAP x 8 salidas = 64 puertos posibles</t>
  </si>
  <si>
    <t>T05</t>
  </si>
  <si>
    <t>Capacidad por NAP</t>
  </si>
  <si>
    <t>puertos</t>
  </si>
  <si>
    <t>Splitter 1x8</t>
  </si>
  <si>
    <t>Capacidad por caja NAP</t>
  </si>
  <si>
    <t>T06</t>
  </si>
  <si>
    <t>Ubicacion de OLT, core, firewall/NVR y salida al centro de monitoreo</t>
  </si>
  <si>
    <t>OLT</t>
  </si>
  <si>
    <t>USD</t>
  </si>
  <si>
    <t>Frontera seca y pasos criticos</t>
  </si>
  <si>
    <t>Inversion inicial estimada</t>
  </si>
  <si>
    <t>Muy alta</t>
  </si>
  <si>
    <t>Arquitectura GPON</t>
  </si>
  <si>
    <t>OLT compacta 8 puertos GPON</t>
  </si>
  <si>
    <t>T07</t>
  </si>
  <si>
    <t>Puertos GPON en OLT</t>
  </si>
  <si>
    <t>Fibra total con reserva</t>
  </si>
  <si>
    <t>Un puerto por ramal/NAP en modelo preliminar</t>
  </si>
  <si>
    <t>T08</t>
  </si>
  <si>
    <t>Fibra feeder / backbone</t>
  </si>
  <si>
    <t>km</t>
  </si>
  <si>
    <t>Topologia conceptual</t>
  </si>
  <si>
    <t>Anillo/eje troncal preliminar</t>
  </si>
  <si>
    <t>T09</t>
  </si>
  <si>
    <t>Incluye feeder, distribucion, drops y reserva tecnica</t>
  </si>
  <si>
    <t>Cobertura de zonas de alto transito e ingreso/egreso fronterizo</t>
  </si>
  <si>
    <t>Fibra distribucion</t>
  </si>
  <si>
    <t>Accesos principales y rutas</t>
  </si>
  <si>
    <t>Ramas hacia sectores criticos</t>
  </si>
  <si>
    <t>T10</t>
  </si>
  <si>
    <t>Drop promedio por camara</t>
  </si>
  <si>
    <t>Criterio de acometida</t>
  </si>
  <si>
    <t>80 metros promedio por camara</t>
  </si>
  <si>
    <t>Puntos de videovigilancia</t>
  </si>
  <si>
    <t>T11</t>
  </si>
  <si>
    <t>Reserva tecnica de fibra</t>
  </si>
  <si>
    <t>Cajas NAP</t>
  </si>
  <si>
    <t>Monitoreo de entradas, salidas y corredores vehiculares</t>
  </si>
  <si>
    <t>%</t>
  </si>
  <si>
    <t>Casco urbano y zona comercial</t>
  </si>
  <si>
    <t>Media alta</t>
  </si>
  <si>
    <t>Buenas practicas ODN</t>
  </si>
  <si>
    <t>Capacidad total 64 puertos</t>
  </si>
  <si>
    <t>Reserva por empalmes, slack y contingencia</t>
  </si>
  <si>
    <t>ONT/ONU</t>
  </si>
  <si>
    <t>T12</t>
  </si>
  <si>
    <t>Ruta aerea con postacion</t>
  </si>
  <si>
    <t>Feeder + distribucion</t>
  </si>
  <si>
    <t>Se asume uso de postacion existente donde sea posible</t>
  </si>
  <si>
    <t>T13</t>
  </si>
  <si>
    <t>Plazas, avenidas, puntos comerciales y circulacion peatonal</t>
  </si>
  <si>
    <t>Separacion promedio entre postes</t>
  </si>
  <si>
    <t>Instituciones, plazas y servicios publicos</t>
  </si>
  <si>
    <t>metros</t>
  </si>
  <si>
    <t>Media</t>
  </si>
  <si>
    <t>Criterio de planta externa</t>
  </si>
  <si>
    <t>Distancia promedio urbana/suburbana</t>
  </si>
  <si>
    <t>T14</t>
  </si>
  <si>
    <t>Porcentaje de postes nuevos</t>
  </si>
  <si>
    <t>Una terminal por camara</t>
  </si>
  <si>
    <t>Estimacion preliminar</t>
  </si>
  <si>
    <t>Se asume 5% de apoyos como nuevos; resto compartido</t>
  </si>
  <si>
    <t>T15</t>
  </si>
  <si>
    <t>Bitrate promedio por camara</t>
  </si>
  <si>
    <t>Mbps</t>
  </si>
  <si>
    <t>Video IP 4MP/H.265</t>
  </si>
  <si>
    <t>Apoyos estimados para ruta aerea</t>
  </si>
  <si>
    <t>Trafico sostenido promedio</t>
  </si>
  <si>
    <t>T16</t>
  </si>
  <si>
    <t>Bitrate pico por camara</t>
  </si>
  <si>
    <t>OPEX Año 1</t>
  </si>
  <si>
    <t>Escuelas, salud, dependencias publicas y espacios de reunion</t>
  </si>
  <si>
    <t>Trafico maximo por camara</t>
  </si>
  <si>
    <t>TOTAL</t>
  </si>
  <si>
    <t>T17</t>
  </si>
  <si>
    <t>Eficiencia upstream GPON</t>
  </si>
  <si>
    <t>Overhead protocolo</t>
  </si>
  <si>
    <t>Eficiencia util aproximada</t>
  </si>
  <si>
    <t>Gasto operativo anual base</t>
  </si>
  <si>
    <t>T18</t>
  </si>
  <si>
    <t>Capacidad upstream GPON</t>
  </si>
  <si>
    <t>Resultado neto Año 1</t>
  </si>
  <si>
    <t>Gbps</t>
  </si>
  <si>
    <t>Contable, criterio devengado</t>
  </si>
  <si>
    <t>VAN flujo libre</t>
  </si>
  <si>
    <t>GPON nominal</t>
  </si>
  <si>
    <t>Capacidad de subida nominal GPON</t>
  </si>
  <si>
    <t>T19</t>
  </si>
  <si>
    <t>Negativo en escenario estatal sin monetizar beneficios</t>
  </si>
  <si>
    <t>TIR flujo libre</t>
  </si>
  <si>
    <t>No aplica</t>
  </si>
  <si>
    <t>Plazo de conservación</t>
  </si>
  <si>
    <t>No aplica porque todos los flujos libres son negativos</t>
  </si>
  <si>
    <t>Necesidad presupuestaria total</t>
  </si>
  <si>
    <t>Días</t>
  </si>
  <si>
    <t>Requisito legal provisiorio</t>
  </si>
  <si>
    <t>Dimensionar storage</t>
  </si>
  <si>
    <t>T20</t>
  </si>
  <si>
    <t>Implementacion + 5 anos de operacion</t>
  </si>
  <si>
    <t>Redundancia de discos</t>
  </si>
  <si>
    <t>Factor</t>
  </si>
  <si>
    <t>input</t>
  </si>
  <si>
    <t>Agrega 25% de capacidad bruta (RAID)</t>
  </si>
  <si>
    <t>F01</t>
  </si>
  <si>
    <t>Moneda del modelo</t>
  </si>
  <si>
    <t>USD constantes</t>
  </si>
  <si>
    <t>texto</t>
  </si>
  <si>
    <t>Criterio de modelado</t>
  </si>
  <si>
    <t>No incluye inflacion ni diferencia de cambio</t>
  </si>
  <si>
    <t>Formula / criterio</t>
  </si>
  <si>
    <t>F02</t>
  </si>
  <si>
    <t>Tasa de descuento</t>
  </si>
  <si>
    <t>PPT valor tiempo del dinero</t>
  </si>
  <si>
    <t>Usada para VAN</t>
  </si>
  <si>
    <t>F03</t>
  </si>
  <si>
    <t>Capacidad total de NAP</t>
  </si>
  <si>
    <t>Impuesto a las ganancias</t>
  </si>
  <si>
    <t>Proyecto estatal</t>
  </si>
  <si>
    <t>No aplicable en escenario publico</t>
  </si>
  <si>
    <t>F04</t>
  </si>
  <si>
    <t>Crecimiento anual OPEX</t>
  </si>
  <si>
    <t>Estimacion conservadora</t>
  </si>
  <si>
    <t>OPEX en USD constantes con leve actualizacion tecnica</t>
  </si>
  <si>
    <t>F05</t>
  </si>
  <si>
    <t>Ingresos comerciales directos</t>
  </si>
  <si>
    <t>USD/anual</t>
  </si>
  <si>
    <t>Proyecto estatal sin canon</t>
  </si>
  <si>
    <t>Base honesta: no monetiza ingresos</t>
  </si>
  <si>
    <t>F06</t>
  </si>
  <si>
    <t>Beneficios monetizados</t>
  </si>
  <si>
    <t>Cajas NAP x capacidad por NAP</t>
  </si>
  <si>
    <t>No monetizado</t>
  </si>
  <si>
    <t>No se cargan ahorros/beneficios para forzar VAN</t>
  </si>
  <si>
    <t>F07</t>
  </si>
  <si>
    <t>CAPEX de reposicion menor</t>
  </si>
  <si>
    <t>% CAPEX</t>
  </si>
  <si>
    <t>Mantenimiento de activo fijo</t>
  </si>
  <si>
    <t>Reposiciones menores anuales desde Año 1</t>
  </si>
  <si>
    <t>Puertos libres NAP</t>
  </si>
  <si>
    <t>F08</t>
  </si>
  <si>
    <t>Vida util fibra y pasivos</t>
  </si>
  <si>
    <t>años</t>
  </si>
  <si>
    <t>Criterio contable tecnico</t>
  </si>
  <si>
    <t>Depreciacion lineal</t>
  </si>
  <si>
    <t>F09</t>
  </si>
  <si>
    <t>Vida util activos tecnologicos</t>
  </si>
  <si>
    <t>Capacidad total menos camaras</t>
  </si>
  <si>
    <t>OLT, ONT, camaras, servidores</t>
  </si>
  <si>
    <t>F10</t>
  </si>
  <si>
    <t>Vida util software/licencias</t>
  </si>
  <si>
    <t>Fibra total base</t>
  </si>
  <si>
    <t>VMS y configuracion inicial si capitalizable</t>
  </si>
  <si>
    <t>F11</t>
  </si>
  <si>
    <t>Valor residual al Ano 5</t>
  </si>
  <si>
    <t>Conservador</t>
  </si>
  <si>
    <t>No se reconoce venta ni recupero al ano 5</t>
  </si>
  <si>
    <t>F12</t>
  </si>
  <si>
    <t>Mantenimiento preventivo ODN</t>
  </si>
  <si>
    <t>Feeder + distribucion + drops</t>
  </si>
  <si>
    <t>Estimación</t>
  </si>
  <si>
    <t>Aplica sobre capex total</t>
  </si>
  <si>
    <t>Reserva tecnica fibra</t>
  </si>
  <si>
    <t>Slack, empalmes y contingencia</t>
  </si>
  <si>
    <t>Fibra total base con reserva</t>
  </si>
  <si>
    <t>Ruta aerea estimada</t>
  </si>
  <si>
    <t>Postes / apoyos estimados</t>
  </si>
  <si>
    <t>Estimacion preliminar por tramos</t>
  </si>
  <si>
    <t>Postes nuevos estimados</t>
  </si>
  <si>
    <t>5% de apoyos</t>
  </si>
  <si>
    <t>Trafico promedio total</t>
  </si>
  <si>
    <t>Camaras x bitrate promedio</t>
  </si>
  <si>
    <t>Trafico pico total</t>
  </si>
  <si>
    <t>Camaras x bitrate pico</t>
  </si>
  <si>
    <t>Capacidad util upstream GPON por puerto</t>
  </si>
  <si>
    <t>Capacidad nominal x eficiencia</t>
  </si>
  <si>
    <t>Utilizacion GPON pico agregada</t>
  </si>
  <si>
    <t>Equipamiento, planta externa, instalacion y contingencia tecnica. Financiado por el ministerio de Gobierno de la Provincia de Misiones.</t>
  </si>
  <si>
    <t>Trafico pico total / capacidad total de subida</t>
  </si>
  <si>
    <t>Categoria</t>
  </si>
  <si>
    <t>Item</t>
  </si>
  <si>
    <t>Cantidad</t>
  </si>
  <si>
    <t>Costo unitario USD</t>
  </si>
  <si>
    <t>Subtotal USD</t>
  </si>
  <si>
    <t>Vida util</t>
  </si>
  <si>
    <t>Tipo activo</t>
  </si>
  <si>
    <t>Activo</t>
  </si>
  <si>
    <t>OLT GPON 8 puertos</t>
  </si>
  <si>
    <t>Tecnologico</t>
  </si>
  <si>
    <t>Vendor tipo Huawei/ZTE compacto</t>
  </si>
  <si>
    <t>Equipo OLT base para 8 ramales GPON</t>
  </si>
  <si>
    <t>Modulo SFP/optica GPON y repuestos</t>
  </si>
  <si>
    <t>Opticas y repuestos minimos</t>
  </si>
  <si>
    <t>Router/firewall perimetral</t>
  </si>
  <si>
    <t>Firewall tipo Fortinet/Cisco</t>
  </si>
  <si>
    <t>Segmentacion de red, VPN, seguridad y ruteo inter-VLAN</t>
  </si>
  <si>
    <t>Switch core/distribucion</t>
  </si>
  <si>
    <t>Switch empresarial</t>
  </si>
  <si>
    <t>Conmutacion central para NOC y video</t>
  </si>
  <si>
    <t>Servidor de grabación y licencias VMS</t>
  </si>
  <si>
    <t>Software/servicio</t>
  </si>
  <si>
    <t>Grabacion de video</t>
  </si>
  <si>
    <t>Hardware base para VMS y gestión de video</t>
  </si>
  <si>
    <t>Subsistema de almacenamiento</t>
  </si>
  <si>
    <t>TB</t>
  </si>
  <si>
    <t>Tecnológico</t>
  </si>
  <si>
    <t>Cálculo por fórmula (30 días, RAID).</t>
  </si>
  <si>
    <t>Capacidad bruta en TB para retención operativa de evidencia</t>
  </si>
  <si>
    <t>Camaras IP PoE 4MP/8MP IP66</t>
  </si>
  <si>
    <t>Camara, soporte y accesorios basicos</t>
  </si>
  <si>
    <t>ONT/ONU GPON outdoor por camara</t>
  </si>
  <si>
    <t>Acceso GPON</t>
  </si>
  <si>
    <t>Terminal optica por punto</t>
  </si>
  <si>
    <t>Gabinete, PoE, UPS menor por punto</t>
  </si>
  <si>
    <t>Planta externa camara</t>
  </si>
  <si>
    <t>Proteccion, energia y respaldo local basico</t>
  </si>
  <si>
    <t>Pasivo</t>
  </si>
  <si>
    <t>Cajas NAP 1x8 con splitter</t>
  </si>
  <si>
    <t>ODN</t>
  </si>
  <si>
    <t>CTO/NAP con divisor 1x8</t>
  </si>
  <si>
    <t>Fibra ADSS total con reserva</t>
  </si>
  <si>
    <t>OPEX - Gasto operativo proyectado</t>
  </si>
  <si>
    <t>Cableado ADSS</t>
  </si>
  <si>
    <t>ODF, patchcords, bandejas y empalmes</t>
  </si>
  <si>
    <t>lote</t>
  </si>
  <si>
    <t>USD constantes; crecimiento anual editable en Supuestos</t>
  </si>
  <si>
    <t>Elementos de terminacion y fusion</t>
  </si>
  <si>
    <t>Base Ano 1 USD</t>
  </si>
  <si>
    <t>Herrajes y materiales de postacion</t>
  </si>
  <si>
    <t>Año 1</t>
  </si>
  <si>
    <t>puntos</t>
  </si>
  <si>
    <t>Año 2</t>
  </si>
  <si>
    <t>Año 3</t>
  </si>
  <si>
    <t>Año 4</t>
  </si>
  <si>
    <t>Año 5</t>
  </si>
  <si>
    <t>Criterio</t>
  </si>
  <si>
    <t>Postacion compartida</t>
  </si>
  <si>
    <t>Morseteria, precintos, reserva y fijaciones</t>
  </si>
  <si>
    <t>Operacion NOC y soporte tecnico</t>
  </si>
  <si>
    <t>Allowance preliminar</t>
  </si>
  <si>
    <t>Solo 5% de apoyos como nuevos; resto compartido</t>
  </si>
  <si>
    <t>Servicio</t>
  </si>
  <si>
    <t>Mano de obra tendido y fusion</t>
  </si>
  <si>
    <t>Instalacion ODN</t>
  </si>
  <si>
    <t>Tendido sobre ruta aerea estimada</t>
  </si>
  <si>
    <t>Instalacion y orientacion de camaras</t>
  </si>
  <si>
    <t>Implementacion</t>
  </si>
  <si>
    <t>Montaje, pruebas y puesta en servicio</t>
  </si>
  <si>
    <t>Configuracion GPON/NOC/VMS</t>
  </si>
  <si>
    <t>Implementacion logica</t>
  </si>
  <si>
    <t>Provisionamiento OLT/ONT, VLAN, monitoreo y VMS</t>
  </si>
  <si>
    <t>Personal/guardia compartida para monitoreo y mantenimiento</t>
  </si>
  <si>
    <t>Ingenieria, relevamiento y documentacion</t>
  </si>
  <si>
    <t>Gestion de proyecto</t>
  </si>
  <si>
    <t>Planos, memoria tecnica y pruebas de aceptacion</t>
  </si>
  <si>
    <t>Subtotal CAPEX directo</t>
  </si>
  <si>
    <t>Depreciacion contable tecnica</t>
  </si>
  <si>
    <t>Base depreciable usada en el EERR; criterio lineal por vida util</t>
  </si>
  <si>
    <t>Contingencia tecnica 10%</t>
  </si>
  <si>
    <t>Base USD</t>
  </si>
  <si>
    <t>Vida util anos</t>
  </si>
  <si>
    <t>3.5% de CAPEX total inicial</t>
  </si>
  <si>
    <t>Depreciacion anual USD</t>
  </si>
  <si>
    <t>Energia camaras, OLT, NVR y core</t>
  </si>
  <si>
    <t>Activos tecnologicos</t>
  </si>
  <si>
    <t>Pasivos / fibra / ODN</t>
  </si>
  <si>
    <t>Consumo continuo de puntos y nodo central</t>
  </si>
  <si>
    <t>Canon/permisos de postacion</t>
  </si>
  <si>
    <t>Software/servicio capitalizable</t>
  </si>
  <si>
    <t>Costo anual editable por uso de apoyos/postes</t>
  </si>
  <si>
    <t>Licencias VMS / monitoreo</t>
  </si>
  <si>
    <t>Total depreciacion anual</t>
  </si>
  <si>
    <t>Licencias, actualizaciones y soporte</t>
  </si>
  <si>
    <t>Backhaul / conectividad de respaldo</t>
  </si>
  <si>
    <t>Transporte o contingencia para centro de monitoreo</t>
  </si>
  <si>
    <t>Repuestos menores y vandalismo</t>
  </si>
  <si>
    <t>Reposicion menor por dano o fallas</t>
  </si>
  <si>
    <t>Total OPEX</t>
  </si>
  <si>
    <t>Estado de Resultados - EERR</t>
  </si>
  <si>
    <t>Criterio de lo devengado; proyecto estatal sin ingresos monetizados</t>
  </si>
  <si>
    <t>Base estatal: sin canon ni venta de servicio</t>
  </si>
  <si>
    <t>Beneficios monetizados / recuperos</t>
  </si>
  <si>
    <t>No se monetizan beneficios sociales en el escenario base</t>
  </si>
  <si>
    <t>Ingresos / beneficios reconocidos</t>
  </si>
  <si>
    <t>Total reconocido en EERR</t>
  </si>
  <si>
    <t>OPEX</t>
  </si>
  <si>
    <t>Gastos operativos devengados</t>
  </si>
  <si>
    <t>EBITDA</t>
  </si>
  <si>
    <t>Resultado antes de depreciacion</t>
  </si>
  <si>
    <t>Depreciacion</t>
  </si>
  <si>
    <t>Depreciacion lineal tecnica</t>
  </si>
  <si>
    <t>EBIT</t>
  </si>
  <si>
    <t>Resultado operativo</t>
  </si>
  <si>
    <t>No aplicable en escenario estatal</t>
  </si>
  <si>
    <t>Estado de Flujo de Efectivo - EFE / Cash Flow</t>
  </si>
  <si>
    <t>Resultado neto</t>
  </si>
  <si>
    <t>Actividades operativas, inversion y financiacion segun enfoque del PPT</t>
  </si>
  <si>
    <t>Año 0</t>
  </si>
  <si>
    <t>Resultado contable del periodo</t>
  </si>
  <si>
    <t>Cobros por ingresos comerciales</t>
  </si>
  <si>
    <t>Sin ingresos comerciales en escenario base</t>
  </si>
  <si>
    <t>Cobros por beneficios monetizados</t>
  </si>
  <si>
    <t>No monetizado por defecto</t>
  </si>
  <si>
    <t>Pagos operativos OPEX</t>
  </si>
  <si>
    <t>Pagos de operacion y mantenimiento</t>
  </si>
  <si>
    <t>Flujo neto operativo</t>
  </si>
  <si>
    <t>Operacion del proyecto</t>
  </si>
  <si>
    <t>Indicadores financieros</t>
  </si>
  <si>
    <t>CAPEX inicial</t>
  </si>
  <si>
    <t>VAN/TIR del flujo libre antes de financiacion; escenario estatal sin monetizar beneficios</t>
  </si>
  <si>
    <t>Indicador</t>
  </si>
  <si>
    <t>Inversion de implementacion</t>
  </si>
  <si>
    <t>CAPEX reposicion menor</t>
  </si>
  <si>
    <t>Input editable</t>
  </si>
  <si>
    <t>Reposiciones menores anuales</t>
  </si>
  <si>
    <t>Inversion ano 0</t>
  </si>
  <si>
    <t>Valor residual / recupero</t>
  </si>
  <si>
    <t>OPEX Ano 1</t>
  </si>
  <si>
    <t>OPEX directo del Ano 1</t>
  </si>
  <si>
    <t>Resultado neto Ano 1</t>
  </si>
  <si>
    <t>Resultado contable devengado</t>
  </si>
  <si>
    <t>Flujo libre Ano 0</t>
  </si>
  <si>
    <t>Antes de financiacion</t>
  </si>
  <si>
    <t>VAN del flujo libre</t>
  </si>
  <si>
    <t>Conservador: cero por defecto</t>
  </si>
  <si>
    <t>Flujo neto de inversion</t>
  </si>
  <si>
    <t>Inversion del proyecto</t>
  </si>
  <si>
    <t>Flujo libre del proyecto antes de financiacion</t>
  </si>
  <si>
    <t>No incluye aporte presupuestario</t>
  </si>
  <si>
    <t>Base para VAN; no incluye aporte presupuestario</t>
  </si>
  <si>
    <t>Aporte presupuestario estatal</t>
  </si>
  <si>
    <t>TIR del flujo libre</t>
  </si>
  <si>
    <t>No aplica si todos los flujos son negativos</t>
  </si>
  <si>
    <t>Payback simple</t>
  </si>
  <si>
    <t>No recupera</t>
  </si>
  <si>
    <t>anos</t>
  </si>
  <si>
    <t>Sin ingresos monetizados, no recupera</t>
  </si>
  <si>
    <t>Necesidad presupuestaria total implementacion + 5 anos</t>
  </si>
  <si>
    <t>Financia deficit; no se usa para VAN del proyecto</t>
  </si>
  <si>
    <t>Deuda financiera</t>
  </si>
  <si>
    <t>Aportes estatales acumulados para cubrir inversion inicial y operacion</t>
  </si>
  <si>
    <t>ño 5</t>
  </si>
  <si>
    <t>Flujo libre antes de financiacion</t>
  </si>
  <si>
    <t>No se asume deuda</t>
  </si>
  <si>
    <t>Flujo neto de financiacion</t>
  </si>
  <si>
    <t>Aportes/deuda</t>
  </si>
  <si>
    <t>Variacion neta de efectivo</t>
  </si>
  <si>
    <t>Cambio de caja luego de financiacion</t>
  </si>
  <si>
    <t>Caja inicial</t>
  </si>
  <si>
    <t>Flujo acumulado</t>
  </si>
  <si>
    <t>Caja al inicio de cada año</t>
  </si>
  <si>
    <t>Caja final</t>
  </si>
  <si>
    <t>Caja final de cada 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</si>
</sst>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;[Red](#,##0.00);-"/>
    <numFmt numFmtId="165" formatCode="0.0%;[Red](0.0%);-"/>
  </numFmts>
  <fonts count="8">
    <font>
      <sz val="11.0"/>
      <color rgb="FF000000"/>
      <name val="Carlito"/>
      <scheme val="minor"/>
    </font>
    <font>
      <b/>
      <sz val="14.0"/>
      <color rgb="FFFFFFFF"/>
      <name val="Carlito"/>
    </font>
    <font>
      <i/>
      <sz val="11.0"/>
      <color rgb="FF1F4E78"/>
      <name val="Carlito"/>
    </font>
    <font>
      <b/>
      <sz val="11.0"/>
      <color rgb="FFFFFFFF"/>
      <name val="Carlito"/>
    </font>
    <font>
      <sz val="11.0"/>
      <color theme="1"/>
      <name val="Carlito"/>
    </font>
    <font>
      <sz val="11.0"/>
      <color rgb="FF0000FF"/>
      <name val="Carlito"/>
    </font>
    <font>
      <b/>
      <sz val="11.0"/>
      <color theme="1"/>
      <name val="Carlito"/>
    </font>
    <font>
      <color theme="1"/>
      <name val="Carlito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203864"/>
        <bgColor rgb="FF203864"/>
      </patternFill>
    </fill>
    <fill>
      <patternFill patternType="solid">
        <fgColor rgb="FFC1E4F5"/>
        <bgColor rgb="FFC1E4F5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top" wrapText="1"/>
    </xf>
    <xf borderId="0" fillId="3" fontId="2" numFmtId="0" xfId="0" applyAlignment="1" applyFill="1" applyFont="1">
      <alignment horizontal="left" shrinkToFit="0" vertical="top" wrapText="1"/>
    </xf>
    <xf borderId="0" fillId="4" fontId="3" numFmtId="0" xfId="0" applyAlignment="1" applyFill="1" applyFont="1">
      <alignment horizontal="center" shrinkToFit="0" vertical="top" wrapText="1"/>
    </xf>
    <xf borderId="0" fillId="0" fontId="4" numFmtId="0" xfId="0" applyAlignment="1" applyFont="1">
      <alignment shrinkToFit="0" vertical="top" wrapText="1"/>
    </xf>
    <xf borderId="0" fillId="0" fontId="5" numFmtId="164" xfId="0" applyAlignment="1" applyFont="1" applyNumberForma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0" fontId="4" numFmtId="164" xfId="0" applyAlignment="1" applyFont="1" applyNumberFormat="1">
      <alignment shrinkToFit="0" vertical="top" wrapText="1"/>
    </xf>
    <xf borderId="0" fillId="0" fontId="6" numFmtId="164" xfId="0" applyAlignment="1" applyFont="1" applyNumberFormat="1">
      <alignment shrinkToFit="0" vertical="top" wrapText="1"/>
    </xf>
    <xf borderId="0" fillId="0" fontId="5" numFmtId="165" xfId="0" applyAlignment="1" applyFont="1" applyNumberFormat="1">
      <alignment shrinkToFit="0" vertical="top" wrapText="1"/>
    </xf>
    <xf borderId="0" fillId="0" fontId="6" numFmtId="0" xfId="0" applyAlignment="1" applyFont="1">
      <alignment readingOrder="0" shrinkToFit="0" vertical="top" wrapText="1"/>
    </xf>
    <xf borderId="0" fillId="3" fontId="6" numFmtId="0" xfId="0" applyAlignment="1" applyFill="1" applyFont="1">
      <alignment shrinkToFit="0" vertical="top" wrapText="1"/>
    </xf>
    <xf borderId="0" fillId="3" fontId="6" numFmtId="164" xfId="0" applyAlignment="1" applyFill="1" applyFont="1" applyNumberFormat="1">
      <alignment shrinkToFit="0" vertical="top" wrapText="1"/>
    </xf>
    <xf borderId="0" fillId="5" fontId="4" numFmtId="0" xfId="0" applyAlignment="1" applyFill="1" applyFont="1">
      <alignment shrinkToFit="0" vertical="top" wrapText="1"/>
    </xf>
    <xf borderId="0" fillId="5" fontId="4" numFmtId="0" xfId="0" applyAlignment="1" applyFill="1" applyFont="1">
      <alignment readingOrder="0" shrinkToFit="0" vertical="top" wrapText="1"/>
    </xf>
    <xf borderId="0" fillId="5" fontId="4" numFmtId="164" xfId="0" applyAlignment="1" applyFill="1" applyFont="1" applyNumberForma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164" xfId="0" applyAlignment="1" applyFont="1" applyNumberForma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164" xfId="0" applyAlignment="1" applyFont="1" applyNumberFormat="1">
      <alignment readingOrder="0" shrinkToFit="0" vertical="top" wrapText="1"/>
    </xf>
    <xf borderId="0" fillId="4" fontId="3" numFmtId="164" xfId="0" applyAlignment="1" applyFill="1" applyFont="1" applyNumberFormat="1">
      <alignment horizontal="center" shrinkToFit="0" vertical="top" wrapText="1"/>
    </xf>
    <xf borderId="0" fillId="0" fontId="5" numFmtId="10" xfId="0" applyAlignment="1" applyFont="1" applyNumberFormat="1">
      <alignment readingOrder="0" shrinkToFit="0" vertical="top" wrapText="1"/>
    </xf>
    <xf borderId="0" fillId="0" fontId="4" numFmtId="165" xfId="0" applyAlignment="1" applyFont="1" applyNumberFormat="1">
      <alignment shrinkToFit="0" vertical="top" wrapText="1"/>
    </xf>
    <xf borderId="0" fillId="3" fontId="2" numFmtId="0" xfId="0" applyAlignment="1" applyFill="1" applyFont="1">
      <alignment horizontal="left" readingOrder="0" shrinkToFit="0" vertical="top" wrapText="1"/>
    </xf>
    <xf borderId="0" fillId="0" fontId="4" numFmtId="164" xfId="0" applyAlignment="1" applyFont="1" applyNumberFormat="1">
      <alignment readingOrder="0" shrinkToFit="0" vertical="top" wrapText="1"/>
    </xf>
    <xf borderId="0" fillId="0" fontId="4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vertical="center"/>
    </xf>
    <xf borderId="0" fillId="0" fontId="4" numFmtId="164" xfId="0" applyAlignment="1" applyFont="1" applyNumberFormat="1">
      <alignment readingOrder="0" shrinkToFit="0" vertical="center" wrapText="1"/>
    </xf>
    <xf borderId="0" fillId="0" fontId="4" numFmtId="164" xfId="0" applyAlignment="1" applyFont="1" applyNumberFormat="1">
      <alignment shrinkToFit="0" vertical="center" wrapText="1"/>
    </xf>
    <xf borderId="0" fillId="4" fontId="3" numFmtId="0" xfId="0" applyAlignment="1" applyFill="1" applyFont="1">
      <alignment horizontal="center" readingOrder="0" shrinkToFit="0" vertical="top" wrapText="1"/>
    </xf>
    <xf borderId="0" fillId="3" fontId="6" numFmtId="0" xfId="0" applyAlignment="1" applyFill="1" applyFont="1">
      <alignment shrinkToFit="0" vertical="top" wrapText="1"/>
    </xf>
    <xf borderId="0" fillId="3" fontId="6" numFmtId="164" xfId="0" applyAlignment="1" applyFill="1" applyFont="1" applyNumberForma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2">
    <tableStyle count="3" pivot="0" name="02 Topologia-style">
      <tableStyleElement dxfId="1" type="headerRow"/>
      <tableStyleElement dxfId="2" type="firstRowStripe"/>
      <tableStyleElement dxfId="3" type="secondRowStripe"/>
    </tableStyle>
    <tableStyle count="3" pivot="0" name="01 Supuestos-style">
      <tableStyleElement dxfId="1" type="headerRow"/>
      <tableStyleElement dxfId="2" type="firstRowStripe"/>
      <tableStyleElement dxfId="3" type="secondRowStripe"/>
    </tableStyle>
    <tableStyle count="3" pivot="0" name="01 Supuestos-style 2">
      <tableStyleElement dxfId="1" type="headerRow"/>
      <tableStyleElement dxfId="2" type="firstRowStripe"/>
      <tableStyleElement dxfId="3" type="secondRowStripe"/>
    </tableStyle>
    <tableStyle count="3" pivot="0" name="02 Topologia-style 2">
      <tableStyleElement dxfId="1" type="headerRow"/>
      <tableStyleElement dxfId="2" type="firstRowStripe"/>
      <tableStyleElement dxfId="3" type="secondRowStripe"/>
    </tableStyle>
    <tableStyle count="3" pivot="0" name="03 CAPEX-style">
      <tableStyleElement dxfId="1" type="headerRow"/>
      <tableStyleElement dxfId="2" type="firstRowStripe"/>
      <tableStyleElement dxfId="3" type="secondRowStripe"/>
    </tableStyle>
    <tableStyle count="3" pivot="0" name="00 Resumen-style">
      <tableStyleElement dxfId="1" type="headerRow"/>
      <tableStyleElement dxfId="2" type="firstRowStripe"/>
      <tableStyleElement dxfId="3" type="secondRowStripe"/>
    </tableStyle>
    <tableStyle count="3" pivot="0" name="04 OPEX-style">
      <tableStyleElement dxfId="1" type="headerRow"/>
      <tableStyleElement dxfId="2" type="firstRowStripe"/>
      <tableStyleElement dxfId="3" type="secondRowStripe"/>
    </tableStyle>
    <tableStyle count="3" pivot="0" name="05 Depreciacion-style">
      <tableStyleElement dxfId="1" type="headerRow"/>
      <tableStyleElement dxfId="2" type="firstRowStripe"/>
      <tableStyleElement dxfId="3" type="secondRowStripe"/>
    </tableStyle>
    <tableStyle count="3" pivot="0" name="06 EERR-style">
      <tableStyleElement dxfId="1" type="headerRow"/>
      <tableStyleElement dxfId="2" type="firstRowStripe"/>
      <tableStyleElement dxfId="3" type="secondRowStripe"/>
    </tableStyle>
    <tableStyle count="3" pivot="0" name="07 EFE Cash Flow-style">
      <tableStyleElement dxfId="1" type="headerRow"/>
      <tableStyleElement dxfId="2" type="firstRowStripe"/>
      <tableStyleElement dxfId="3" type="secondRowStripe"/>
    </tableStyle>
    <tableStyle count="3" pivot="0" name="08 VAN TIR-style">
      <tableStyleElement dxfId="1" type="headerRow"/>
      <tableStyleElement dxfId="2" type="firstRowStripe"/>
      <tableStyleElement dxfId="3" type="secondRowStripe"/>
    </tableStyle>
    <tableStyle count="3" pivot="0" name="08 VAN TIR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D14" displayName="Table_4" name="Table_4" id="3">
  <tableColumns count="4">
    <tableColumn name="KPI" id="1"/>
    <tableColumn name="Valor" id="2"/>
    <tableColumn name="Unidad" id="3"/>
    <tableColumn name="Comentario" id="4"/>
  </tableColumns>
  <tableStyleInfo name="00 Resumen-style" showColumnStripes="0" showFirstColumn="1" showLastColumn="1" showRowStripes="1"/>
</table>
</file>

<file path=xl/tables/table2.xml><?xml version="1.0" encoding="utf-8"?>
<table xmlns="http://schemas.openxmlformats.org/spreadsheetml/2006/main" ref="A3:G21" displayName="Table_1" name="Table_1" id="4">
  <tableColumns count="7">
    <tableColumn name="Codigo" id="1"/>
    <tableColumn name="Concepto" id="2"/>
    <tableColumn name="Valor" id="3"/>
    <tableColumn name="Unidad" id="4"/>
    <tableColumn name="Tipo" id="5"/>
    <tableColumn name="Fuente / criterio" id="6"/>
    <tableColumn name="Notas" id="7"/>
  </tableColumns>
  <tableStyleInfo name="01 Supuestos-style" showColumnStripes="0" showFirstColumn="1" showLastColumn="1" showRowStripes="1"/>
</table>
</file>

<file path=xl/tables/table3.xml><?xml version="1.0" encoding="utf-8"?>
<table xmlns="http://schemas.openxmlformats.org/spreadsheetml/2006/main" ref="A28:G40" displayName="Table_5" name="Table_5" id="5">
  <tableColumns count="7">
    <tableColumn name="Codigo" id="1"/>
    <tableColumn name="Concepto" id="2"/>
    <tableColumn name="Valor" id="3"/>
    <tableColumn name="Unidad" id="4"/>
    <tableColumn name="Tipo" id="5"/>
    <tableColumn name="Fuente / criterio" id="6"/>
    <tableColumn name="Notas" id="7"/>
  </tableColumns>
  <tableStyleInfo name="01 Supuestos-style 2" showColumnStripes="0" showFirstColumn="1" showLastColumn="1" showRowStripes="1"/>
</table>
</file>

<file path=xl/tables/table4.xml><?xml version="1.0" encoding="utf-8"?>
<table xmlns="http://schemas.openxmlformats.org/spreadsheetml/2006/main" ref="A3:K9" displayName="Table_3" name="Table_3" id="2">
  <tableColumns count="11">
    <tableColumn name="Sector" id="1"/>
    <tableColumn name="Criticidad" id="2"/>
    <tableColumn name="Camaras" id="3"/>
    <tableColumn name="ONT" id="4"/>
    <tableColumn name="NAP" id="5"/>
    <tableColumn name="Feeder km" id="6"/>
    <tableColumn name="Distribucion km" id="7"/>
    <tableColumn name="Drop km" id="8"/>
    <tableColumn name="Fibra total km" id="9"/>
    <tableColumn name="Postes / apoyos" id="10"/>
    <tableColumn name="Observaciones" id="11"/>
  </tableColumns>
  <tableStyleInfo name="02 Topologia-style" showColumnStripes="0" showFirstColumn="1" showLastColumn="1" showRowStripes="1"/>
</table>
</file>

<file path=xl/tables/table5.xml><?xml version="1.0" encoding="utf-8"?>
<table xmlns="http://schemas.openxmlformats.org/spreadsheetml/2006/main" ref="A13:D25" displayName="Table_6" name="Table_6" id="6">
  <tableColumns count="4">
    <tableColumn name="Concepto" id="1"/>
    <tableColumn name="Valor" id="2"/>
    <tableColumn name="Unidad" id="3"/>
    <tableColumn name="Formula / criterio" id="4"/>
  </tableColumns>
  <tableStyleInfo name="02 Topologia-style 2" showColumnStripes="0" showFirstColumn="1" showLastColumn="1" showRowStripes="1"/>
</table>
</file>

<file path=xl/tables/table6.xml><?xml version="1.0" encoding="utf-8"?>
<table xmlns="http://schemas.openxmlformats.org/spreadsheetml/2006/main" ref="A3:J21" displayName="Table_2" name="Table_2" id="1">
  <tableColumns count="10">
    <tableColumn name="Categoria" id="1"/>
    <tableColumn name="Item" id="2"/>
    <tableColumn name="Cantidad" id="3"/>
    <tableColumn name="Unidad" id="4"/>
    <tableColumn name="Costo unitario USD" id="5"/>
    <tableColumn name="Subtotal USD" id="6"/>
    <tableColumn name="Vida util" id="7"/>
    <tableColumn name="Tipo activo" id="8"/>
    <tableColumn name="Fuente / criterio" id="9"/>
    <tableColumn name="Notas" id="10"/>
  </tableColumns>
  <tableStyleInfo name="03 CAPEX-style" showColumnStripes="0" showFirstColumn="1" showLastColumn="1" showRowStripes="1"/>
</table>
</file>

<file path=xl/tables/table7.xml><?xml version="1.0" encoding="utf-8"?>
<table xmlns="http://schemas.openxmlformats.org/spreadsheetml/2006/main" ref="A3:H10" displayName="Table_7" name="Table_7" id="7">
  <tableColumns count="8">
    <tableColumn name="Concepto" id="1"/>
    <tableColumn name="Base Ano 1 USD" id="2"/>
    <tableColumn name="Año 1" id="3"/>
    <tableColumn name="Año 2" id="4"/>
    <tableColumn name="Año 3" id="5"/>
    <tableColumn name="Año 4" id="6"/>
    <tableColumn name="Año 5" id="7"/>
    <tableColumn name="Criterio" id="8"/>
  </tableColumns>
  <tableStyleInfo name="04 OPEX-style" showColumnStripes="0" showFirstColumn="1" showLastColumn="1" showRowStripes="1"/>
</table>
</file>

<file path=xl/tables/table8.xml><?xml version="1.0" encoding="utf-8"?>
<table xmlns="http://schemas.openxmlformats.org/spreadsheetml/2006/main" ref="A3:D7" displayName="Table_8" name="Table_8" id="8">
  <tableColumns count="4">
    <tableColumn name="Tipo activo" id="1"/>
    <tableColumn name="Base USD" id="2"/>
    <tableColumn name="Vida util anos" id="3"/>
    <tableColumn name="Depreciacion anual USD" id="4"/>
  </tableColumns>
  <tableStyleInfo name="05 Depreciacion-style" showColumnStripes="0" showFirstColumn="1" showLastColumn="1" showRowStripes="1"/>
</table>
</file>

<file path=xl/tables/table9.xml><?xml version="1.0" encoding="utf-8"?>
<table xmlns="http://schemas.openxmlformats.org/spreadsheetml/2006/main" ref="A3:G12" displayName="Table_9" name="Table_9" id="9">
  <tableColumns count="7">
    <tableColumn name="Concepto" id="1"/>
    <tableColumn name="Año 1" id="2"/>
    <tableColumn name="Año 2" id="3"/>
    <tableColumn name="Año 3" id="4"/>
    <tableColumn name="Año 4" id="5"/>
    <tableColumn name="Año 5" id="6"/>
    <tableColumn name="Notas" id="7"/>
  </tableColumns>
  <tableStyleInfo name="06 EERR-style" showColumnStripes="0" showFirstColumn="1" showLastColumn="1" showRowStripes="1"/>
</table>
</file>

<file path=xl/tables/table10.xml><?xml version="1.0" encoding="utf-8"?>
<table xmlns="http://schemas.openxmlformats.org/spreadsheetml/2006/main" ref="A3:H18" displayName="Table_10" name="Table_10" id="10">
  <tableColumns count="8">
    <tableColumn name="Concepto" id="1"/>
    <tableColumn name="Año 0" id="2"/>
    <tableColumn name="Año 1" id="3"/>
    <tableColumn name="Año 2" id="4"/>
    <tableColumn name="Año 3" id="5"/>
    <tableColumn name="Año 4" id="6"/>
    <tableColumn name="Año 5" id="7"/>
    <tableColumn name="Notas" id="8"/>
  </tableColumns>
  <tableStyleInfo name="07 EFE Cash Flow-style" showColumnStripes="0" showFirstColumn="1" showLastColumn="1" showRowStripes="1"/>
</table>
</file>

<file path=xl/tables/table11.xml><?xml version="1.0" encoding="utf-8"?>
<table xmlns="http://schemas.openxmlformats.org/spreadsheetml/2006/main" ref="A3:D11" displayName="Table_11" name="Table_11" id="11">
  <tableColumns count="4">
    <tableColumn name="Indicador" id="1"/>
    <tableColumn name="Valor" id="2"/>
    <tableColumn name="Unidad" id="3"/>
    <tableColumn name="Formula / criterio" id="4"/>
  </tableColumns>
  <tableStyleInfo name="08 VAN TIR-style" showColumnStripes="0" showFirstColumn="1" showLastColumn="1" showRowStripes="1"/>
</table>
</file>

<file path=xl/tables/table12.xml><?xml version="1.0" encoding="utf-8"?>
<table xmlns="http://schemas.openxmlformats.org/spreadsheetml/2006/main" ref="A14:G16" displayName="Table_12" name="Table_12" id="12">
  <tableColumns count="7">
    <tableColumn name="Concepto" id="1"/>
    <tableColumn name="Año 0" id="2"/>
    <tableColumn name="Año 1" id="3"/>
    <tableColumn name="Año 2" id="4"/>
    <tableColumn name="Año 3" id="5"/>
    <tableColumn name="Año 4" id="6"/>
    <tableColumn name="ño 5" id="7"/>
  </tableColumns>
  <tableStyleInfo name="08 VAN TIR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8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9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0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11.xml"/><Relationship Id="rId5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2" width="18.0"/>
    <col customWidth="1" min="3" max="3" width="12.0"/>
    <col customWidth="1" min="4" max="4" width="55.0"/>
    <col customWidth="1" min="5" max="26" width="8.63"/>
  </cols>
  <sheetData>
    <row r="1" ht="25.5" customHeight="1">
      <c r="A1" s="1" t="s">
        <v>7</v>
      </c>
    </row>
    <row r="2" ht="21.75" customHeight="1">
      <c r="A2" s="2" t="s">
        <v>12</v>
      </c>
    </row>
    <row r="3" ht="30.0" customHeight="1">
      <c r="A3" s="3" t="s">
        <v>19</v>
      </c>
      <c r="B3" s="3" t="s">
        <v>9</v>
      </c>
      <c r="C3" s="3" t="s">
        <v>11</v>
      </c>
      <c r="D3" s="3" t="s">
        <v>26</v>
      </c>
    </row>
    <row r="4">
      <c r="A4" s="6" t="s">
        <v>29</v>
      </c>
      <c r="B4" s="8">
        <f>'03 CAPEX'!$F$24</f>
        <v>121189.6263</v>
      </c>
      <c r="C4" s="4" t="s">
        <v>55</v>
      </c>
      <c r="D4" s="4" t="s">
        <v>57</v>
      </c>
    </row>
    <row r="5">
      <c r="A5" s="6" t="s">
        <v>63</v>
      </c>
      <c r="B5" s="8">
        <f>'02 Topologia'!$B$18</f>
        <v>29.716</v>
      </c>
      <c r="C5" s="4" t="s">
        <v>67</v>
      </c>
      <c r="D5" s="4" t="s">
        <v>71</v>
      </c>
    </row>
    <row r="6">
      <c r="A6" s="6" t="s">
        <v>13</v>
      </c>
      <c r="B6" s="8">
        <f>'01 Supuestos'!$C$4</f>
        <v>48</v>
      </c>
      <c r="C6" s="4" t="s">
        <v>32</v>
      </c>
      <c r="D6" s="4" t="s">
        <v>80</v>
      </c>
    </row>
    <row r="7">
      <c r="A7" s="6" t="s">
        <v>83</v>
      </c>
      <c r="B7" s="8">
        <f>'01 Supuestos'!$C$7</f>
        <v>8</v>
      </c>
      <c r="C7" s="4" t="s">
        <v>32</v>
      </c>
      <c r="D7" s="4" t="s">
        <v>89</v>
      </c>
    </row>
    <row r="8">
      <c r="A8" s="6" t="s">
        <v>91</v>
      </c>
      <c r="B8" s="8">
        <f>'01 Supuestos'!$C$4*'01 Supuestos'!$C$5</f>
        <v>48</v>
      </c>
      <c r="C8" s="4" t="s">
        <v>32</v>
      </c>
      <c r="D8" s="4" t="s">
        <v>106</v>
      </c>
    </row>
    <row r="9">
      <c r="A9" s="6" t="s">
        <v>27</v>
      </c>
      <c r="B9" s="8">
        <f>'02 Topologia'!$B$20</f>
        <v>593</v>
      </c>
      <c r="C9" s="4" t="s">
        <v>32</v>
      </c>
      <c r="D9" s="4" t="s">
        <v>113</v>
      </c>
    </row>
    <row r="10">
      <c r="A10" s="10" t="s">
        <v>117</v>
      </c>
      <c r="B10" s="8">
        <f>'04 OPEX'!$C$11</f>
        <v>30956.03356</v>
      </c>
      <c r="C10" s="4" t="s">
        <v>55</v>
      </c>
      <c r="D10" s="4" t="s">
        <v>125</v>
      </c>
    </row>
    <row r="11">
      <c r="A11" s="10" t="s">
        <v>128</v>
      </c>
      <c r="B11" s="8">
        <f>'06 EERR'!$B$12</f>
        <v>-47558.3244</v>
      </c>
      <c r="C11" s="4" t="s">
        <v>55</v>
      </c>
      <c r="D11" s="4" t="s">
        <v>130</v>
      </c>
    </row>
    <row r="12">
      <c r="A12" s="6" t="s">
        <v>131</v>
      </c>
      <c r="B12" s="8">
        <f>'08 VAN TIR'!$B$9</f>
        <v>-238598.6143</v>
      </c>
      <c r="C12" s="4" t="s">
        <v>55</v>
      </c>
      <c r="D12" s="4" t="s">
        <v>135</v>
      </c>
    </row>
    <row r="13">
      <c r="A13" s="6" t="s">
        <v>136</v>
      </c>
      <c r="B13" s="8" t="s">
        <v>137</v>
      </c>
      <c r="C13" s="4" t="s">
        <v>85</v>
      </c>
      <c r="D13" s="4" t="s">
        <v>139</v>
      </c>
    </row>
    <row r="14">
      <c r="A14" s="6" t="s">
        <v>140</v>
      </c>
      <c r="B14" s="8">
        <f>'08 VAN TIR'!$B$12</f>
        <v>297658.3752</v>
      </c>
      <c r="C14" s="4" t="s">
        <v>55</v>
      </c>
      <c r="D14" s="4" t="s">
        <v>145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34.0"/>
    <col customWidth="1" min="3" max="3" width="16.0"/>
    <col customWidth="1" min="4" max="4" width="14.0"/>
    <col customWidth="1" min="5" max="5" width="12.0"/>
    <col customWidth="1" min="6" max="6" width="34.0"/>
    <col customWidth="1" min="7" max="7" width="45.0"/>
    <col customWidth="1" min="8" max="26" width="8.63"/>
  </cols>
  <sheetData>
    <row r="1" ht="25.5" customHeight="1">
      <c r="A1" s="1" t="s">
        <v>2</v>
      </c>
    </row>
    <row r="2" ht="21.75" customHeight="1">
      <c r="A2" s="2" t="s">
        <v>4</v>
      </c>
    </row>
    <row r="3" ht="30.0" customHeight="1">
      <c r="A3" s="3" t="s">
        <v>5</v>
      </c>
      <c r="B3" s="3" t="s">
        <v>8</v>
      </c>
      <c r="C3" s="3" t="s">
        <v>9</v>
      </c>
      <c r="D3" s="3" t="s">
        <v>11</v>
      </c>
      <c r="E3" s="3" t="s">
        <v>14</v>
      </c>
      <c r="F3" s="3" t="s">
        <v>15</v>
      </c>
      <c r="G3" s="3" t="s">
        <v>17</v>
      </c>
    </row>
    <row r="4">
      <c r="A4" s="4" t="s">
        <v>21</v>
      </c>
      <c r="B4" s="4" t="s">
        <v>25</v>
      </c>
      <c r="C4" s="5">
        <v>48.0</v>
      </c>
      <c r="D4" s="4" t="s">
        <v>32</v>
      </c>
      <c r="E4" s="4" t="s">
        <v>33</v>
      </c>
      <c r="F4" s="4" t="s">
        <v>34</v>
      </c>
      <c r="G4" s="4" t="s">
        <v>35</v>
      </c>
    </row>
    <row r="5">
      <c r="A5" s="4" t="s">
        <v>36</v>
      </c>
      <c r="B5" s="4" t="s">
        <v>37</v>
      </c>
      <c r="C5" s="5">
        <v>1.0</v>
      </c>
      <c r="D5" s="4" t="s">
        <v>32</v>
      </c>
      <c r="E5" s="4" t="s">
        <v>33</v>
      </c>
      <c r="F5" s="4" t="s">
        <v>38</v>
      </c>
      <c r="G5" s="4" t="s">
        <v>39</v>
      </c>
    </row>
    <row r="6">
      <c r="A6" s="4" t="s">
        <v>40</v>
      </c>
      <c r="B6" s="4" t="s">
        <v>41</v>
      </c>
      <c r="C6" s="5">
        <v>6.0</v>
      </c>
      <c r="D6" s="4" t="s">
        <v>32</v>
      </c>
      <c r="E6" s="4" t="s">
        <v>33</v>
      </c>
      <c r="F6" s="4" t="s">
        <v>38</v>
      </c>
      <c r="G6" s="4" t="s">
        <v>42</v>
      </c>
    </row>
    <row r="7">
      <c r="A7" s="4" t="s">
        <v>43</v>
      </c>
      <c r="B7" s="4" t="s">
        <v>44</v>
      </c>
      <c r="C7" s="5">
        <v>8.0</v>
      </c>
      <c r="D7" s="4" t="s">
        <v>32</v>
      </c>
      <c r="E7" s="4" t="s">
        <v>33</v>
      </c>
      <c r="F7" s="4" t="s">
        <v>45</v>
      </c>
      <c r="G7" s="4" t="s">
        <v>46</v>
      </c>
    </row>
    <row r="8">
      <c r="A8" s="4" t="s">
        <v>47</v>
      </c>
      <c r="B8" s="4" t="s">
        <v>48</v>
      </c>
      <c r="C8" s="5">
        <v>8.0</v>
      </c>
      <c r="D8" s="4" t="s">
        <v>49</v>
      </c>
      <c r="E8" s="4" t="s">
        <v>33</v>
      </c>
      <c r="F8" s="4" t="s">
        <v>50</v>
      </c>
      <c r="G8" s="4" t="s">
        <v>51</v>
      </c>
    </row>
    <row r="9">
      <c r="A9" s="4" t="s">
        <v>52</v>
      </c>
      <c r="B9" s="4" t="s">
        <v>54</v>
      </c>
      <c r="C9" s="5">
        <v>1.0</v>
      </c>
      <c r="D9" s="4" t="s">
        <v>32</v>
      </c>
      <c r="E9" s="4" t="s">
        <v>33</v>
      </c>
      <c r="F9" s="4" t="s">
        <v>59</v>
      </c>
      <c r="G9" s="4" t="s">
        <v>60</v>
      </c>
    </row>
    <row r="10">
      <c r="A10" s="4" t="s">
        <v>61</v>
      </c>
      <c r="B10" s="4" t="s">
        <v>62</v>
      </c>
      <c r="C10" s="5">
        <v>8.0</v>
      </c>
      <c r="D10" s="4" t="s">
        <v>49</v>
      </c>
      <c r="E10" s="4" t="s">
        <v>33</v>
      </c>
      <c r="F10" s="4" t="s">
        <v>59</v>
      </c>
      <c r="G10" s="4" t="s">
        <v>64</v>
      </c>
    </row>
    <row r="11">
      <c r="A11" s="4" t="s">
        <v>65</v>
      </c>
      <c r="B11" s="4" t="s">
        <v>66</v>
      </c>
      <c r="C11" s="5">
        <v>9.6</v>
      </c>
      <c r="D11" s="4" t="s">
        <v>67</v>
      </c>
      <c r="E11" s="4" t="s">
        <v>33</v>
      </c>
      <c r="F11" s="4" t="s">
        <v>68</v>
      </c>
      <c r="G11" s="4" t="s">
        <v>69</v>
      </c>
    </row>
    <row r="12">
      <c r="A12" s="4" t="s">
        <v>70</v>
      </c>
      <c r="B12" s="4" t="s">
        <v>73</v>
      </c>
      <c r="C12" s="5">
        <v>12.4</v>
      </c>
      <c r="D12" s="4" t="s">
        <v>67</v>
      </c>
      <c r="E12" s="4" t="s">
        <v>33</v>
      </c>
      <c r="F12" s="4" t="s">
        <v>68</v>
      </c>
      <c r="G12" s="4" t="s">
        <v>75</v>
      </c>
    </row>
    <row r="13">
      <c r="A13" s="4" t="s">
        <v>76</v>
      </c>
      <c r="B13" s="4" t="s">
        <v>77</v>
      </c>
      <c r="C13" s="5">
        <v>0.08</v>
      </c>
      <c r="D13" s="4" t="s">
        <v>67</v>
      </c>
      <c r="E13" s="4" t="s">
        <v>33</v>
      </c>
      <c r="F13" s="4" t="s">
        <v>78</v>
      </c>
      <c r="G13" s="4" t="s">
        <v>79</v>
      </c>
    </row>
    <row r="14">
      <c r="A14" s="4" t="s">
        <v>81</v>
      </c>
      <c r="B14" s="4" t="s">
        <v>82</v>
      </c>
      <c r="C14" s="9">
        <v>0.15</v>
      </c>
      <c r="D14" s="4" t="s">
        <v>85</v>
      </c>
      <c r="E14" s="4" t="s">
        <v>33</v>
      </c>
      <c r="F14" s="4" t="s">
        <v>88</v>
      </c>
      <c r="G14" s="4" t="s">
        <v>90</v>
      </c>
    </row>
    <row r="15">
      <c r="A15" s="4" t="s">
        <v>92</v>
      </c>
      <c r="B15" s="4" t="s">
        <v>93</v>
      </c>
      <c r="C15" s="5">
        <v>22.0</v>
      </c>
      <c r="D15" s="4" t="s">
        <v>67</v>
      </c>
      <c r="E15" s="4" t="s">
        <v>33</v>
      </c>
      <c r="F15" s="4" t="s">
        <v>94</v>
      </c>
      <c r="G15" s="4" t="s">
        <v>95</v>
      </c>
    </row>
    <row r="16">
      <c r="A16" s="4" t="s">
        <v>96</v>
      </c>
      <c r="B16" s="4" t="s">
        <v>98</v>
      </c>
      <c r="C16" s="5">
        <v>37.0</v>
      </c>
      <c r="D16" s="4" t="s">
        <v>100</v>
      </c>
      <c r="E16" s="4" t="s">
        <v>33</v>
      </c>
      <c r="F16" s="4" t="s">
        <v>102</v>
      </c>
      <c r="G16" s="4" t="s">
        <v>103</v>
      </c>
    </row>
    <row r="17">
      <c r="A17" s="4" t="s">
        <v>104</v>
      </c>
      <c r="B17" s="4" t="s">
        <v>105</v>
      </c>
      <c r="C17" s="9">
        <v>0.05</v>
      </c>
      <c r="D17" s="4" t="s">
        <v>85</v>
      </c>
      <c r="E17" s="4" t="s">
        <v>33</v>
      </c>
      <c r="F17" s="4" t="s">
        <v>107</v>
      </c>
      <c r="G17" s="4" t="s">
        <v>108</v>
      </c>
    </row>
    <row r="18">
      <c r="A18" s="4" t="s">
        <v>109</v>
      </c>
      <c r="B18" s="4" t="s">
        <v>110</v>
      </c>
      <c r="C18" s="5">
        <v>6.0</v>
      </c>
      <c r="D18" s="4" t="s">
        <v>111</v>
      </c>
      <c r="E18" s="4" t="s">
        <v>33</v>
      </c>
      <c r="F18" s="4" t="s">
        <v>112</v>
      </c>
      <c r="G18" s="4" t="s">
        <v>114</v>
      </c>
    </row>
    <row r="19">
      <c r="A19" s="4" t="s">
        <v>115</v>
      </c>
      <c r="B19" s="4" t="s">
        <v>116</v>
      </c>
      <c r="C19" s="5">
        <v>8.0</v>
      </c>
      <c r="D19" s="4" t="s">
        <v>111</v>
      </c>
      <c r="E19" s="4" t="s">
        <v>33</v>
      </c>
      <c r="F19" s="4" t="s">
        <v>112</v>
      </c>
      <c r="G19" s="4" t="s">
        <v>119</v>
      </c>
    </row>
    <row r="20">
      <c r="A20" s="4" t="s">
        <v>121</v>
      </c>
      <c r="B20" s="4" t="s">
        <v>122</v>
      </c>
      <c r="C20" s="9">
        <v>0.9</v>
      </c>
      <c r="D20" s="4" t="s">
        <v>85</v>
      </c>
      <c r="E20" s="4" t="s">
        <v>33</v>
      </c>
      <c r="F20" s="4" t="s">
        <v>123</v>
      </c>
      <c r="G20" s="4" t="s">
        <v>124</v>
      </c>
    </row>
    <row r="21" ht="15.75" customHeight="1">
      <c r="A21" s="4" t="s">
        <v>126</v>
      </c>
      <c r="B21" s="4" t="s">
        <v>127</v>
      </c>
      <c r="C21" s="5">
        <v>1.244</v>
      </c>
      <c r="D21" s="4" t="s">
        <v>129</v>
      </c>
      <c r="E21" s="4" t="s">
        <v>33</v>
      </c>
      <c r="F21" s="4" t="s">
        <v>132</v>
      </c>
      <c r="G21" s="4" t="s">
        <v>133</v>
      </c>
    </row>
    <row r="22" ht="15.75" customHeight="1">
      <c r="A22" s="13" t="s">
        <v>134</v>
      </c>
      <c r="B22" s="14" t="s">
        <v>138</v>
      </c>
      <c r="C22" s="15">
        <v>30.0</v>
      </c>
      <c r="D22" s="14" t="s">
        <v>141</v>
      </c>
      <c r="E22" s="14" t="s">
        <v>33</v>
      </c>
      <c r="F22" s="14" t="s">
        <v>142</v>
      </c>
      <c r="G22" s="14" t="s">
        <v>143</v>
      </c>
    </row>
    <row r="23" ht="15.75" customHeight="1">
      <c r="A23" s="18" t="s">
        <v>144</v>
      </c>
      <c r="B23" s="19" t="s">
        <v>146</v>
      </c>
      <c r="C23" s="20">
        <v>1.25</v>
      </c>
      <c r="D23" s="19" t="s">
        <v>147</v>
      </c>
      <c r="E23" s="19" t="s">
        <v>148</v>
      </c>
      <c r="F23" s="19" t="s">
        <v>38</v>
      </c>
      <c r="G23" s="19" t="s">
        <v>149</v>
      </c>
    </row>
    <row r="24" ht="15.75" customHeight="1"/>
    <row r="25" ht="15.75" customHeight="1"/>
    <row r="26" ht="15.75" customHeight="1"/>
    <row r="27" ht="15.75" customHeight="1"/>
    <row r="28" ht="15.75" customHeight="1">
      <c r="A28" s="3" t="s">
        <v>5</v>
      </c>
      <c r="B28" s="3" t="s">
        <v>8</v>
      </c>
      <c r="C28" s="21" t="s">
        <v>9</v>
      </c>
      <c r="D28" s="3" t="s">
        <v>11</v>
      </c>
      <c r="E28" s="3" t="s">
        <v>14</v>
      </c>
      <c r="F28" s="3" t="s">
        <v>15</v>
      </c>
      <c r="G28" s="3" t="s">
        <v>17</v>
      </c>
    </row>
    <row r="29" ht="15.75" customHeight="1">
      <c r="A29" s="4" t="s">
        <v>150</v>
      </c>
      <c r="B29" s="4" t="s">
        <v>151</v>
      </c>
      <c r="C29" s="5" t="s">
        <v>152</v>
      </c>
      <c r="D29" s="4" t="s">
        <v>153</v>
      </c>
      <c r="E29" s="4" t="s">
        <v>33</v>
      </c>
      <c r="F29" s="4" t="s">
        <v>154</v>
      </c>
      <c r="G29" s="4" t="s">
        <v>155</v>
      </c>
    </row>
    <row r="30" ht="15.75" customHeight="1">
      <c r="A30" s="4" t="s">
        <v>157</v>
      </c>
      <c r="B30" s="4" t="s">
        <v>158</v>
      </c>
      <c r="C30" s="9">
        <v>0.15</v>
      </c>
      <c r="D30" s="4" t="s">
        <v>85</v>
      </c>
      <c r="E30" s="4" t="s">
        <v>33</v>
      </c>
      <c r="F30" s="4" t="s">
        <v>159</v>
      </c>
      <c r="G30" s="4" t="s">
        <v>160</v>
      </c>
    </row>
    <row r="31" ht="15.75" customHeight="1">
      <c r="A31" s="4" t="s">
        <v>161</v>
      </c>
      <c r="B31" s="4" t="s">
        <v>163</v>
      </c>
      <c r="C31" s="9">
        <v>0.0</v>
      </c>
      <c r="D31" s="4" t="s">
        <v>85</v>
      </c>
      <c r="E31" s="4" t="s">
        <v>33</v>
      </c>
      <c r="F31" s="4" t="s">
        <v>164</v>
      </c>
      <c r="G31" s="4" t="s">
        <v>165</v>
      </c>
    </row>
    <row r="32" ht="15.75" customHeight="1">
      <c r="A32" s="4" t="s">
        <v>166</v>
      </c>
      <c r="B32" s="4" t="s">
        <v>167</v>
      </c>
      <c r="C32" s="9">
        <v>0.03</v>
      </c>
      <c r="D32" s="4" t="s">
        <v>85</v>
      </c>
      <c r="E32" s="4" t="s">
        <v>33</v>
      </c>
      <c r="F32" s="4" t="s">
        <v>168</v>
      </c>
      <c r="G32" s="4" t="s">
        <v>169</v>
      </c>
    </row>
    <row r="33" ht="15.75" customHeight="1">
      <c r="A33" s="4" t="s">
        <v>170</v>
      </c>
      <c r="B33" s="4" t="s">
        <v>171</v>
      </c>
      <c r="C33" s="5">
        <v>0.0</v>
      </c>
      <c r="D33" s="4" t="s">
        <v>172</v>
      </c>
      <c r="E33" s="4" t="s">
        <v>33</v>
      </c>
      <c r="F33" s="4" t="s">
        <v>173</v>
      </c>
      <c r="G33" s="4" t="s">
        <v>174</v>
      </c>
    </row>
    <row r="34" ht="15.75" customHeight="1">
      <c r="A34" s="4" t="s">
        <v>175</v>
      </c>
      <c r="B34" s="4" t="s">
        <v>176</v>
      </c>
      <c r="C34" s="5">
        <v>0.0</v>
      </c>
      <c r="D34" s="4" t="s">
        <v>172</v>
      </c>
      <c r="E34" s="4" t="s">
        <v>33</v>
      </c>
      <c r="F34" s="4" t="s">
        <v>178</v>
      </c>
      <c r="G34" s="4" t="s">
        <v>179</v>
      </c>
    </row>
    <row r="35" ht="15.75" customHeight="1">
      <c r="A35" s="4" t="s">
        <v>180</v>
      </c>
      <c r="B35" s="4" t="s">
        <v>181</v>
      </c>
      <c r="C35" s="9">
        <v>0.02</v>
      </c>
      <c r="D35" s="4" t="s">
        <v>182</v>
      </c>
      <c r="E35" s="4" t="s">
        <v>33</v>
      </c>
      <c r="F35" s="4" t="s">
        <v>183</v>
      </c>
      <c r="G35" s="18" t="s">
        <v>184</v>
      </c>
    </row>
    <row r="36" ht="15.75" customHeight="1">
      <c r="A36" s="4" t="s">
        <v>186</v>
      </c>
      <c r="B36" s="4" t="s">
        <v>187</v>
      </c>
      <c r="C36" s="5">
        <v>10.0</v>
      </c>
      <c r="D36" s="18" t="s">
        <v>188</v>
      </c>
      <c r="E36" s="4" t="s">
        <v>33</v>
      </c>
      <c r="F36" s="4" t="s">
        <v>189</v>
      </c>
      <c r="G36" s="4" t="s">
        <v>190</v>
      </c>
    </row>
    <row r="37" ht="15.75" customHeight="1">
      <c r="A37" s="4" t="s">
        <v>191</v>
      </c>
      <c r="B37" s="4" t="s">
        <v>192</v>
      </c>
      <c r="C37" s="5">
        <v>5.0</v>
      </c>
      <c r="D37" s="18" t="s">
        <v>188</v>
      </c>
      <c r="E37" s="4" t="s">
        <v>33</v>
      </c>
      <c r="F37" s="4" t="s">
        <v>189</v>
      </c>
      <c r="G37" s="4" t="s">
        <v>194</v>
      </c>
    </row>
    <row r="38" ht="15.75" customHeight="1">
      <c r="A38" s="4" t="s">
        <v>195</v>
      </c>
      <c r="B38" s="4" t="s">
        <v>196</v>
      </c>
      <c r="C38" s="5">
        <v>3.0</v>
      </c>
      <c r="D38" s="18" t="s">
        <v>188</v>
      </c>
      <c r="E38" s="4" t="s">
        <v>33</v>
      </c>
      <c r="F38" s="4" t="s">
        <v>189</v>
      </c>
      <c r="G38" s="4" t="s">
        <v>198</v>
      </c>
    </row>
    <row r="39" ht="15.75" customHeight="1">
      <c r="A39" s="4" t="s">
        <v>199</v>
      </c>
      <c r="B39" s="4" t="s">
        <v>200</v>
      </c>
      <c r="C39" s="5">
        <v>0.0</v>
      </c>
      <c r="D39" s="4" t="s">
        <v>55</v>
      </c>
      <c r="E39" s="4" t="s">
        <v>33</v>
      </c>
      <c r="F39" s="4" t="s">
        <v>201</v>
      </c>
      <c r="G39" s="4" t="s">
        <v>202</v>
      </c>
    </row>
    <row r="40" ht="15.75" customHeight="1">
      <c r="A40" s="18" t="s">
        <v>203</v>
      </c>
      <c r="B40" s="18" t="s">
        <v>204</v>
      </c>
      <c r="C40" s="22">
        <v>0.035</v>
      </c>
      <c r="D40" s="4" t="s">
        <v>182</v>
      </c>
      <c r="E40" s="18" t="s">
        <v>33</v>
      </c>
      <c r="F40" s="18" t="s">
        <v>206</v>
      </c>
      <c r="G40" s="18" t="s">
        <v>207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16.0"/>
    <col customWidth="1" min="3" max="3" width="14.0"/>
    <col customWidth="1" min="4" max="4" width="50.0"/>
    <col customWidth="1" min="5" max="10" width="14.0"/>
    <col customWidth="1" min="11" max="11" width="52.0"/>
    <col customWidth="1" min="12" max="26" width="8.63"/>
  </cols>
  <sheetData>
    <row r="1" ht="25.5" customHeight="1">
      <c r="A1" s="1" t="s">
        <v>0</v>
      </c>
    </row>
    <row r="2" ht="21.75" customHeight="1">
      <c r="A2" s="2" t="s">
        <v>3</v>
      </c>
    </row>
    <row r="3" ht="30.0" customHeight="1">
      <c r="A3" s="3" t="s">
        <v>6</v>
      </c>
      <c r="B3" s="3" t="s">
        <v>10</v>
      </c>
      <c r="C3" s="3" t="s">
        <v>13</v>
      </c>
      <c r="D3" s="3" t="s">
        <v>16</v>
      </c>
      <c r="E3" s="3" t="s">
        <v>18</v>
      </c>
      <c r="F3" s="3" t="s">
        <v>20</v>
      </c>
      <c r="G3" s="3" t="s">
        <v>22</v>
      </c>
      <c r="H3" s="3" t="s">
        <v>23</v>
      </c>
      <c r="I3" s="3" t="s">
        <v>24</v>
      </c>
      <c r="J3" s="3" t="s">
        <v>27</v>
      </c>
      <c r="K3" s="3" t="s">
        <v>28</v>
      </c>
    </row>
    <row r="4">
      <c r="A4" s="4" t="s">
        <v>30</v>
      </c>
      <c r="B4" s="4" t="s">
        <v>31</v>
      </c>
      <c r="C4" s="7">
        <v>0.0</v>
      </c>
      <c r="D4" s="7">
        <v>0.0</v>
      </c>
      <c r="E4" s="7">
        <v>0.0</v>
      </c>
      <c r="F4" s="7">
        <v>9.6</v>
      </c>
      <c r="G4" s="7">
        <v>0.0</v>
      </c>
      <c r="H4" s="7">
        <v>0.0</v>
      </c>
      <c r="I4" s="7">
        <f t="shared" ref="I4:I8" si="1">SUM(F4:H4)</f>
        <v>9.6</v>
      </c>
      <c r="J4" s="7">
        <v>259.0</v>
      </c>
      <c r="K4" s="4" t="s">
        <v>53</v>
      </c>
    </row>
    <row r="5">
      <c r="A5" s="4" t="s">
        <v>56</v>
      </c>
      <c r="B5" s="4" t="s">
        <v>58</v>
      </c>
      <c r="C5" s="7">
        <v>18.0</v>
      </c>
      <c r="D5" s="7">
        <v>18.0</v>
      </c>
      <c r="E5" s="7">
        <v>3.0</v>
      </c>
      <c r="F5" s="7">
        <v>0.0</v>
      </c>
      <c r="G5" s="7">
        <v>4.6</v>
      </c>
      <c r="H5" s="7">
        <f>C5*'01 Supuestos'!$C$13</f>
        <v>1.44</v>
      </c>
      <c r="I5" s="7">
        <f t="shared" si="1"/>
        <v>6.04</v>
      </c>
      <c r="J5" s="7">
        <v>124.0</v>
      </c>
      <c r="K5" s="4" t="s">
        <v>72</v>
      </c>
    </row>
    <row r="6">
      <c r="A6" s="4" t="s">
        <v>74</v>
      </c>
      <c r="B6" s="4" t="s">
        <v>31</v>
      </c>
      <c r="C6" s="7">
        <v>10.0</v>
      </c>
      <c r="D6" s="7">
        <v>10.0</v>
      </c>
      <c r="E6" s="7">
        <v>2.0</v>
      </c>
      <c r="F6" s="7">
        <v>0.0</v>
      </c>
      <c r="G6" s="7">
        <v>3.2</v>
      </c>
      <c r="H6" s="7">
        <f>C6*'01 Supuestos'!$C$13</f>
        <v>0.8</v>
      </c>
      <c r="I6" s="7">
        <f t="shared" si="1"/>
        <v>4</v>
      </c>
      <c r="J6" s="7">
        <v>86.0</v>
      </c>
      <c r="K6" s="4" t="s">
        <v>84</v>
      </c>
    </row>
    <row r="7">
      <c r="A7" s="4" t="s">
        <v>86</v>
      </c>
      <c r="B7" s="4" t="s">
        <v>87</v>
      </c>
      <c r="C7" s="7">
        <v>12.0</v>
      </c>
      <c r="D7" s="7">
        <v>12.0</v>
      </c>
      <c r="E7" s="7">
        <v>2.0</v>
      </c>
      <c r="F7" s="7">
        <v>0.0</v>
      </c>
      <c r="G7" s="7">
        <v>3.0</v>
      </c>
      <c r="H7" s="7">
        <f>C7*'01 Supuestos'!$C$13</f>
        <v>0.96</v>
      </c>
      <c r="I7" s="7">
        <f t="shared" si="1"/>
        <v>3.96</v>
      </c>
      <c r="J7" s="7">
        <v>81.0</v>
      </c>
      <c r="K7" s="4" t="s">
        <v>97</v>
      </c>
    </row>
    <row r="8">
      <c r="A8" s="4" t="s">
        <v>99</v>
      </c>
      <c r="B8" s="4" t="s">
        <v>101</v>
      </c>
      <c r="C8" s="7">
        <v>8.0</v>
      </c>
      <c r="D8" s="7">
        <v>8.0</v>
      </c>
      <c r="E8" s="7">
        <v>1.0</v>
      </c>
      <c r="F8" s="7">
        <v>0.0</v>
      </c>
      <c r="G8" s="7">
        <v>1.6</v>
      </c>
      <c r="H8" s="7">
        <f>C8*'01 Supuestos'!$C$13</f>
        <v>0.64</v>
      </c>
      <c r="I8" s="7">
        <f t="shared" si="1"/>
        <v>2.24</v>
      </c>
      <c r="J8" s="7">
        <v>43.0</v>
      </c>
      <c r="K8" s="4" t="s">
        <v>118</v>
      </c>
    </row>
    <row r="9">
      <c r="A9" s="11" t="s">
        <v>120</v>
      </c>
      <c r="B9" s="11"/>
      <c r="C9" s="12">
        <f t="shared" ref="C9:J9" si="2">SUM(C4:C8)</f>
        <v>48</v>
      </c>
      <c r="D9" s="12">
        <f t="shared" si="2"/>
        <v>48</v>
      </c>
      <c r="E9" s="12">
        <f t="shared" si="2"/>
        <v>8</v>
      </c>
      <c r="F9" s="12">
        <f t="shared" si="2"/>
        <v>9.6</v>
      </c>
      <c r="G9" s="12">
        <f t="shared" si="2"/>
        <v>12.4</v>
      </c>
      <c r="H9" s="12">
        <f t="shared" si="2"/>
        <v>3.84</v>
      </c>
      <c r="I9" s="12">
        <f t="shared" si="2"/>
        <v>25.84</v>
      </c>
      <c r="J9" s="12">
        <f t="shared" si="2"/>
        <v>593</v>
      </c>
      <c r="K9" s="11"/>
    </row>
    <row r="10">
      <c r="A10" s="16"/>
      <c r="B10" s="16"/>
      <c r="C10" s="17"/>
      <c r="D10" s="17"/>
      <c r="E10" s="17"/>
      <c r="F10" s="17"/>
      <c r="G10" s="17"/>
      <c r="H10" s="17"/>
      <c r="I10" s="17"/>
      <c r="J10" s="17"/>
      <c r="K10" s="16"/>
    </row>
    <row r="11">
      <c r="A11" s="16"/>
      <c r="B11" s="16"/>
      <c r="C11" s="17"/>
      <c r="D11" s="17"/>
      <c r="E11" s="17"/>
      <c r="F11" s="17"/>
      <c r="G11" s="17"/>
      <c r="H11" s="17"/>
      <c r="I11" s="17"/>
      <c r="J11" s="17"/>
      <c r="K11" s="16"/>
    </row>
    <row r="12">
      <c r="A12" s="16"/>
      <c r="B12" s="16"/>
      <c r="C12" s="17"/>
      <c r="D12" s="17"/>
      <c r="E12" s="17"/>
      <c r="F12" s="17"/>
      <c r="G12" s="17"/>
      <c r="H12" s="17"/>
      <c r="I12" s="17"/>
      <c r="J12" s="17"/>
      <c r="K12" s="16"/>
    </row>
    <row r="13" ht="30.0" customHeight="1">
      <c r="A13" s="3" t="s">
        <v>8</v>
      </c>
      <c r="B13" s="3" t="s">
        <v>9</v>
      </c>
      <c r="C13" s="21" t="s">
        <v>11</v>
      </c>
      <c r="D13" s="21" t="s">
        <v>156</v>
      </c>
      <c r="E13" s="17"/>
      <c r="F13" s="17"/>
      <c r="G13" s="17"/>
      <c r="H13" s="17"/>
      <c r="I13" s="17"/>
      <c r="J13" s="17"/>
      <c r="K13" s="16"/>
    </row>
    <row r="14">
      <c r="A14" s="4" t="s">
        <v>162</v>
      </c>
      <c r="B14" s="4">
        <f>'01 Supuestos'!$C$7*'01 Supuestos'!$C$8</f>
        <v>64</v>
      </c>
      <c r="C14" s="7" t="s">
        <v>49</v>
      </c>
      <c r="D14" s="7" t="s">
        <v>177</v>
      </c>
      <c r="E14" s="17"/>
      <c r="F14" s="17"/>
      <c r="G14" s="17"/>
      <c r="H14" s="17"/>
      <c r="I14" s="17"/>
      <c r="J14" s="17"/>
      <c r="K14" s="16"/>
    </row>
    <row r="15">
      <c r="A15" s="4" t="s">
        <v>185</v>
      </c>
      <c r="B15" s="7">
        <f>B14-'01 Supuestos'!$C$4</f>
        <v>16</v>
      </c>
      <c r="C15" s="7" t="s">
        <v>49</v>
      </c>
      <c r="D15" s="7" t="s">
        <v>193</v>
      </c>
      <c r="E15" s="17"/>
      <c r="F15" s="17"/>
      <c r="G15" s="17"/>
      <c r="H15" s="17"/>
      <c r="I15" s="17"/>
      <c r="J15" s="17"/>
      <c r="K15" s="16"/>
    </row>
    <row r="16">
      <c r="A16" s="4" t="s">
        <v>197</v>
      </c>
      <c r="B16" s="7">
        <f>I9</f>
        <v>25.84</v>
      </c>
      <c r="C16" s="7" t="s">
        <v>67</v>
      </c>
      <c r="D16" s="7" t="s">
        <v>205</v>
      </c>
      <c r="E16" s="17"/>
      <c r="F16" s="17"/>
      <c r="G16" s="17"/>
      <c r="H16" s="17"/>
      <c r="I16" s="17"/>
      <c r="J16" s="17"/>
      <c r="K16" s="16"/>
    </row>
    <row r="17">
      <c r="A17" s="4" t="s">
        <v>208</v>
      </c>
      <c r="B17" s="23">
        <f>'01 Supuestos'!$C$14</f>
        <v>0.15</v>
      </c>
      <c r="C17" s="7" t="s">
        <v>85</v>
      </c>
      <c r="D17" s="7" t="s">
        <v>209</v>
      </c>
      <c r="E17" s="17"/>
      <c r="F17" s="17"/>
      <c r="G17" s="17"/>
      <c r="H17" s="17"/>
      <c r="I17" s="17"/>
      <c r="J17" s="17"/>
      <c r="K17" s="16"/>
    </row>
    <row r="18">
      <c r="A18" s="4" t="s">
        <v>63</v>
      </c>
      <c r="B18" s="4">
        <f>B16*(1+B17)</f>
        <v>29.716</v>
      </c>
      <c r="C18" s="7" t="s">
        <v>67</v>
      </c>
      <c r="D18" s="7" t="s">
        <v>210</v>
      </c>
      <c r="E18" s="17"/>
      <c r="F18" s="17"/>
      <c r="G18" s="17"/>
      <c r="H18" s="17"/>
      <c r="I18" s="17"/>
      <c r="J18" s="17"/>
      <c r="K18" s="16"/>
    </row>
    <row r="19">
      <c r="A19" s="4" t="s">
        <v>93</v>
      </c>
      <c r="B19" s="7">
        <f>'01 Supuestos'!$C$15</f>
        <v>22</v>
      </c>
      <c r="C19" s="7" t="s">
        <v>67</v>
      </c>
      <c r="D19" s="7" t="s">
        <v>211</v>
      </c>
      <c r="E19" s="17"/>
      <c r="F19" s="17"/>
      <c r="G19" s="17"/>
      <c r="H19" s="17"/>
      <c r="I19" s="17"/>
      <c r="J19" s="17"/>
      <c r="K19" s="16"/>
    </row>
    <row r="20">
      <c r="A20" s="4" t="s">
        <v>212</v>
      </c>
      <c r="B20" s="7">
        <f>J9</f>
        <v>593</v>
      </c>
      <c r="C20" s="7" t="s">
        <v>32</v>
      </c>
      <c r="D20" s="7" t="s">
        <v>213</v>
      </c>
      <c r="E20" s="17"/>
      <c r="F20" s="17"/>
      <c r="G20" s="17"/>
      <c r="H20" s="17"/>
      <c r="I20" s="17"/>
      <c r="J20" s="17"/>
      <c r="K20" s="16"/>
    </row>
    <row r="21" ht="15.75" customHeight="1">
      <c r="A21" s="4" t="s">
        <v>214</v>
      </c>
      <c r="B21" s="4">
        <f>ROUND(B20*'01 Supuestos'!$C$17,0)</f>
        <v>30</v>
      </c>
      <c r="C21" s="7" t="s">
        <v>32</v>
      </c>
      <c r="D21" s="7" t="s">
        <v>215</v>
      </c>
      <c r="E21" s="17"/>
      <c r="F21" s="17"/>
      <c r="G21" s="17"/>
      <c r="H21" s="17"/>
      <c r="I21" s="17"/>
      <c r="J21" s="17"/>
      <c r="K21" s="16"/>
    </row>
    <row r="22" ht="15.75" customHeight="1">
      <c r="A22" s="4" t="s">
        <v>216</v>
      </c>
      <c r="B22" s="4">
        <f>'01 Supuestos'!$C$4*'01 Supuestos'!$C$18</f>
        <v>288</v>
      </c>
      <c r="C22" s="7" t="s">
        <v>111</v>
      </c>
      <c r="D22" s="7" t="s">
        <v>217</v>
      </c>
      <c r="E22" s="17"/>
      <c r="F22" s="17"/>
      <c r="G22" s="17"/>
      <c r="H22" s="17"/>
      <c r="I22" s="17"/>
      <c r="J22" s="17"/>
      <c r="K22" s="16"/>
    </row>
    <row r="23" ht="15.75" customHeight="1">
      <c r="A23" s="4" t="s">
        <v>218</v>
      </c>
      <c r="B23" s="4">
        <f>'01 Supuestos'!$C$4*'01 Supuestos'!$C$19</f>
        <v>384</v>
      </c>
      <c r="C23" s="7" t="s">
        <v>111</v>
      </c>
      <c r="D23" s="7" t="s">
        <v>219</v>
      </c>
      <c r="E23" s="17"/>
      <c r="F23" s="17"/>
      <c r="G23" s="17"/>
      <c r="H23" s="17"/>
      <c r="I23" s="17"/>
      <c r="J23" s="17"/>
      <c r="K23" s="16"/>
    </row>
    <row r="24" ht="15.75" customHeight="1">
      <c r="A24" s="4" t="s">
        <v>220</v>
      </c>
      <c r="B24" s="4">
        <f>'01 Supuestos'!$C$21*1000*'01 Supuestos'!$C$20</f>
        <v>1119.6</v>
      </c>
      <c r="C24" s="7" t="s">
        <v>111</v>
      </c>
      <c r="D24" s="7" t="s">
        <v>221</v>
      </c>
      <c r="E24" s="17"/>
      <c r="F24" s="17"/>
      <c r="G24" s="17"/>
      <c r="H24" s="17"/>
      <c r="I24" s="17"/>
      <c r="J24" s="17"/>
      <c r="K24" s="16"/>
    </row>
    <row r="25" ht="15.75" customHeight="1">
      <c r="A25" s="4" t="s">
        <v>222</v>
      </c>
      <c r="B25" s="23">
        <f>B23/(B24*'01 Supuestos'!$C$10)</f>
        <v>0.04287245445</v>
      </c>
      <c r="C25" s="7" t="s">
        <v>85</v>
      </c>
      <c r="D25" s="7" t="s">
        <v>224</v>
      </c>
      <c r="E25" s="17"/>
      <c r="F25" s="17"/>
      <c r="G25" s="17"/>
      <c r="H25" s="17"/>
      <c r="I25" s="17"/>
      <c r="J25" s="17"/>
      <c r="K25" s="1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36.0"/>
    <col customWidth="1" min="3" max="4" width="12.0"/>
    <col customWidth="1" min="5" max="6" width="16.0"/>
    <col customWidth="1" min="7" max="7" width="11.0"/>
    <col customWidth="1" min="8" max="8" width="18.0"/>
    <col customWidth="1" min="9" max="9" width="28.0"/>
    <col customWidth="1" min="10" max="10" width="45.0"/>
    <col customWidth="1" min="11" max="26" width="8.63"/>
  </cols>
  <sheetData>
    <row r="1" ht="25.5" customHeight="1">
      <c r="A1" s="1" t="s">
        <v>1</v>
      </c>
    </row>
    <row r="2" ht="21.75" customHeight="1">
      <c r="A2" s="24" t="s">
        <v>223</v>
      </c>
    </row>
    <row r="3" ht="30.0" customHeight="1">
      <c r="A3" s="3" t="s">
        <v>225</v>
      </c>
      <c r="B3" s="3" t="s">
        <v>226</v>
      </c>
      <c r="C3" s="3" t="s">
        <v>227</v>
      </c>
      <c r="D3" s="3" t="s">
        <v>11</v>
      </c>
      <c r="E3" s="3" t="s">
        <v>228</v>
      </c>
      <c r="F3" s="3" t="s">
        <v>229</v>
      </c>
      <c r="G3" s="3" t="s">
        <v>230</v>
      </c>
      <c r="H3" s="3" t="s">
        <v>231</v>
      </c>
      <c r="I3" s="3" t="s">
        <v>15</v>
      </c>
      <c r="J3" s="3" t="s">
        <v>17</v>
      </c>
    </row>
    <row r="4">
      <c r="A4" s="4" t="s">
        <v>232</v>
      </c>
      <c r="B4" s="4" t="s">
        <v>233</v>
      </c>
      <c r="C4" s="7">
        <v>1.0</v>
      </c>
      <c r="D4" s="7" t="s">
        <v>32</v>
      </c>
      <c r="E4" s="7">
        <v>4500.0</v>
      </c>
      <c r="F4" s="7">
        <f t="shared" ref="F4:F21" si="1">C4*E4</f>
        <v>4500</v>
      </c>
      <c r="G4" s="7">
        <v>5.0</v>
      </c>
      <c r="H4" s="4" t="s">
        <v>234</v>
      </c>
      <c r="I4" s="4" t="s">
        <v>235</v>
      </c>
      <c r="J4" s="4" t="s">
        <v>236</v>
      </c>
    </row>
    <row r="5">
      <c r="A5" s="4" t="s">
        <v>232</v>
      </c>
      <c r="B5" s="4" t="s">
        <v>237</v>
      </c>
      <c r="C5" s="7">
        <v>8.0</v>
      </c>
      <c r="D5" s="7" t="s">
        <v>32</v>
      </c>
      <c r="E5" s="7">
        <v>85.0</v>
      </c>
      <c r="F5" s="7">
        <f t="shared" si="1"/>
        <v>680</v>
      </c>
      <c r="G5" s="7">
        <v>5.0</v>
      </c>
      <c r="H5" s="4" t="s">
        <v>234</v>
      </c>
      <c r="I5" s="4" t="s">
        <v>38</v>
      </c>
      <c r="J5" s="4" t="s">
        <v>238</v>
      </c>
    </row>
    <row r="6">
      <c r="A6" s="4" t="s">
        <v>232</v>
      </c>
      <c r="B6" s="4" t="s">
        <v>239</v>
      </c>
      <c r="C6" s="7">
        <v>1.0</v>
      </c>
      <c r="D6" s="7" t="s">
        <v>32</v>
      </c>
      <c r="E6" s="7">
        <v>1800.0</v>
      </c>
      <c r="F6" s="7">
        <f t="shared" si="1"/>
        <v>1800</v>
      </c>
      <c r="G6" s="7">
        <v>5.0</v>
      </c>
      <c r="H6" s="4" t="s">
        <v>234</v>
      </c>
      <c r="I6" s="4" t="s">
        <v>240</v>
      </c>
      <c r="J6" s="4" t="s">
        <v>241</v>
      </c>
    </row>
    <row r="7">
      <c r="A7" s="4" t="s">
        <v>232</v>
      </c>
      <c r="B7" s="4" t="s">
        <v>242</v>
      </c>
      <c r="C7" s="7">
        <v>1.0</v>
      </c>
      <c r="D7" s="7" t="s">
        <v>32</v>
      </c>
      <c r="E7" s="7">
        <v>2200.0</v>
      </c>
      <c r="F7" s="7">
        <f t="shared" si="1"/>
        <v>2200</v>
      </c>
      <c r="G7" s="7">
        <v>5.0</v>
      </c>
      <c r="H7" s="4" t="s">
        <v>234</v>
      </c>
      <c r="I7" s="4" t="s">
        <v>243</v>
      </c>
      <c r="J7" s="4" t="s">
        <v>244</v>
      </c>
    </row>
    <row r="8">
      <c r="A8" s="4" t="s">
        <v>232</v>
      </c>
      <c r="B8" s="18" t="s">
        <v>245</v>
      </c>
      <c r="C8" s="7">
        <v>1.0</v>
      </c>
      <c r="D8" s="7" t="s">
        <v>32</v>
      </c>
      <c r="E8" s="25">
        <v>3500.0</v>
      </c>
      <c r="F8" s="7">
        <f t="shared" si="1"/>
        <v>3500</v>
      </c>
      <c r="G8" s="7">
        <v>5.0</v>
      </c>
      <c r="H8" s="4" t="s">
        <v>246</v>
      </c>
      <c r="I8" s="4" t="s">
        <v>247</v>
      </c>
      <c r="J8" s="18" t="s">
        <v>248</v>
      </c>
    </row>
    <row r="9">
      <c r="A9" s="26" t="s">
        <v>232</v>
      </c>
      <c r="B9" s="27" t="s">
        <v>249</v>
      </c>
      <c r="C9" s="28">
        <f>('01 Supuestos'!C4 * 6 * 30  * 10.8) / 1024 * 1.25</f>
        <v>113.90625</v>
      </c>
      <c r="D9" s="28" t="s">
        <v>250</v>
      </c>
      <c r="E9" s="28">
        <v>30.0</v>
      </c>
      <c r="F9" s="29">
        <f t="shared" si="1"/>
        <v>3417.1875</v>
      </c>
      <c r="G9" s="29">
        <f>'01 Supuestos'!C37</f>
        <v>5</v>
      </c>
      <c r="H9" s="26" t="s">
        <v>251</v>
      </c>
      <c r="I9" s="27" t="s">
        <v>252</v>
      </c>
      <c r="J9" s="26" t="s">
        <v>253</v>
      </c>
    </row>
    <row r="10">
      <c r="A10" s="4" t="s">
        <v>232</v>
      </c>
      <c r="B10" s="4" t="s">
        <v>254</v>
      </c>
      <c r="C10" s="7">
        <f> '01 Supuestos'!$C$4</f>
        <v>48</v>
      </c>
      <c r="D10" s="7" t="s">
        <v>32</v>
      </c>
      <c r="E10" s="7">
        <v>220.0</v>
      </c>
      <c r="F10" s="7">
        <f t="shared" si="1"/>
        <v>10560</v>
      </c>
      <c r="G10" s="7">
        <v>5.0</v>
      </c>
      <c r="H10" s="4" t="s">
        <v>234</v>
      </c>
      <c r="I10" s="4" t="s">
        <v>80</v>
      </c>
      <c r="J10" s="4" t="s">
        <v>255</v>
      </c>
    </row>
    <row r="11">
      <c r="A11" s="4" t="s">
        <v>232</v>
      </c>
      <c r="B11" s="4" t="s">
        <v>256</v>
      </c>
      <c r="C11" s="7">
        <f> '01 Supuestos'!$C$4</f>
        <v>48</v>
      </c>
      <c r="D11" s="7" t="s">
        <v>32</v>
      </c>
      <c r="E11" s="7">
        <v>65.0</v>
      </c>
      <c r="F11" s="7">
        <f t="shared" si="1"/>
        <v>3120</v>
      </c>
      <c r="G11" s="7">
        <v>5.0</v>
      </c>
      <c r="H11" s="4" t="s">
        <v>234</v>
      </c>
      <c r="I11" s="4" t="s">
        <v>257</v>
      </c>
      <c r="J11" s="4" t="s">
        <v>258</v>
      </c>
    </row>
    <row r="12">
      <c r="A12" s="4" t="s">
        <v>232</v>
      </c>
      <c r="B12" s="4" t="s">
        <v>259</v>
      </c>
      <c r="C12" s="7">
        <f> '01 Supuestos'!$C$4</f>
        <v>48</v>
      </c>
      <c r="D12" s="7" t="s">
        <v>32</v>
      </c>
      <c r="E12" s="7">
        <v>75.0</v>
      </c>
      <c r="F12" s="7">
        <f t="shared" si="1"/>
        <v>3600</v>
      </c>
      <c r="G12" s="7">
        <v>5.0</v>
      </c>
      <c r="H12" s="4" t="s">
        <v>234</v>
      </c>
      <c r="I12" s="4" t="s">
        <v>260</v>
      </c>
      <c r="J12" s="4" t="s">
        <v>261</v>
      </c>
    </row>
    <row r="13">
      <c r="A13" s="4" t="s">
        <v>262</v>
      </c>
      <c r="B13" s="4" t="s">
        <v>263</v>
      </c>
      <c r="C13" s="7">
        <v>8.0</v>
      </c>
      <c r="D13" s="7" t="s">
        <v>32</v>
      </c>
      <c r="E13" s="7">
        <v>110.0</v>
      </c>
      <c r="F13" s="7">
        <f t="shared" si="1"/>
        <v>880</v>
      </c>
      <c r="G13" s="7">
        <v>10.0</v>
      </c>
      <c r="H13" s="4" t="s">
        <v>262</v>
      </c>
      <c r="I13" s="4" t="s">
        <v>264</v>
      </c>
      <c r="J13" s="4" t="s">
        <v>265</v>
      </c>
    </row>
    <row r="14">
      <c r="A14" s="4" t="s">
        <v>262</v>
      </c>
      <c r="B14" s="4" t="s">
        <v>266</v>
      </c>
      <c r="C14" s="7">
        <f>'02 Topologia'!B18</f>
        <v>29.716</v>
      </c>
      <c r="D14" s="7" t="s">
        <v>67</v>
      </c>
      <c r="E14" s="7">
        <v>1200.0</v>
      </c>
      <c r="F14" s="7">
        <f t="shared" si="1"/>
        <v>35659.2</v>
      </c>
      <c r="G14" s="7">
        <v>10.0</v>
      </c>
      <c r="H14" s="4" t="s">
        <v>262</v>
      </c>
      <c r="I14" s="4" t="s">
        <v>268</v>
      </c>
      <c r="J14" s="4" t="s">
        <v>71</v>
      </c>
    </row>
    <row r="15">
      <c r="A15" s="4" t="s">
        <v>262</v>
      </c>
      <c r="B15" s="4" t="s">
        <v>269</v>
      </c>
      <c r="C15" s="7">
        <v>1.0</v>
      </c>
      <c r="D15" s="7" t="s">
        <v>270</v>
      </c>
      <c r="E15" s="7">
        <v>3200.0</v>
      </c>
      <c r="F15" s="7">
        <f t="shared" si="1"/>
        <v>3200</v>
      </c>
      <c r="G15" s="7">
        <v>10.0</v>
      </c>
      <c r="H15" s="4" t="s">
        <v>262</v>
      </c>
      <c r="I15" s="4" t="s">
        <v>264</v>
      </c>
      <c r="J15" s="4" t="s">
        <v>272</v>
      </c>
    </row>
    <row r="16">
      <c r="A16" s="4" t="s">
        <v>262</v>
      </c>
      <c r="B16" s="4" t="s">
        <v>274</v>
      </c>
      <c r="C16" s="7">
        <f>'02 Topologia'!B20</f>
        <v>593</v>
      </c>
      <c r="D16" s="7" t="s">
        <v>276</v>
      </c>
      <c r="E16" s="7">
        <v>12.0</v>
      </c>
      <c r="F16" s="7">
        <f t="shared" si="1"/>
        <v>7116</v>
      </c>
      <c r="G16" s="7">
        <v>10.0</v>
      </c>
      <c r="H16" s="4" t="s">
        <v>262</v>
      </c>
      <c r="I16" s="4" t="s">
        <v>282</v>
      </c>
      <c r="J16" s="4" t="s">
        <v>283</v>
      </c>
    </row>
    <row r="17">
      <c r="A17" s="4" t="s">
        <v>262</v>
      </c>
      <c r="B17" s="4" t="s">
        <v>214</v>
      </c>
      <c r="C17" s="7">
        <f>'02 Topologia'!B21</f>
        <v>30</v>
      </c>
      <c r="D17" s="7" t="s">
        <v>32</v>
      </c>
      <c r="E17" s="7">
        <v>150.0</v>
      </c>
      <c r="F17" s="7">
        <f t="shared" si="1"/>
        <v>4500</v>
      </c>
      <c r="G17" s="7">
        <v>10.0</v>
      </c>
      <c r="H17" s="4" t="s">
        <v>262</v>
      </c>
      <c r="I17" s="4" t="s">
        <v>285</v>
      </c>
      <c r="J17" s="4" t="s">
        <v>286</v>
      </c>
    </row>
    <row r="18">
      <c r="A18" s="4" t="s">
        <v>287</v>
      </c>
      <c r="B18" s="4" t="s">
        <v>288</v>
      </c>
      <c r="C18" s="7">
        <f>'01 Supuestos'!C15</f>
        <v>22</v>
      </c>
      <c r="D18" s="7" t="s">
        <v>67</v>
      </c>
      <c r="E18" s="7">
        <v>650.0</v>
      </c>
      <c r="F18" s="7">
        <f t="shared" si="1"/>
        <v>14300</v>
      </c>
      <c r="G18" s="7">
        <v>10.0</v>
      </c>
      <c r="H18" s="4" t="s">
        <v>287</v>
      </c>
      <c r="I18" s="4" t="s">
        <v>289</v>
      </c>
      <c r="J18" s="4" t="s">
        <v>290</v>
      </c>
    </row>
    <row r="19">
      <c r="A19" s="4" t="s">
        <v>287</v>
      </c>
      <c r="B19" s="4" t="s">
        <v>291</v>
      </c>
      <c r="C19" s="7">
        <v>48.0</v>
      </c>
      <c r="D19" s="7" t="s">
        <v>32</v>
      </c>
      <c r="E19" s="7">
        <v>55.0</v>
      </c>
      <c r="F19" s="7">
        <f t="shared" si="1"/>
        <v>2640</v>
      </c>
      <c r="G19" s="7">
        <v>5.0</v>
      </c>
      <c r="H19" s="4" t="s">
        <v>287</v>
      </c>
      <c r="I19" s="4" t="s">
        <v>292</v>
      </c>
      <c r="J19" s="4" t="s">
        <v>293</v>
      </c>
    </row>
    <row r="20">
      <c r="A20" s="4" t="s">
        <v>287</v>
      </c>
      <c r="B20" s="4" t="s">
        <v>294</v>
      </c>
      <c r="C20" s="7">
        <v>1.0</v>
      </c>
      <c r="D20" s="7" t="s">
        <v>270</v>
      </c>
      <c r="E20" s="7">
        <v>2500.0</v>
      </c>
      <c r="F20" s="7">
        <f t="shared" si="1"/>
        <v>2500</v>
      </c>
      <c r="G20" s="7">
        <v>3.0</v>
      </c>
      <c r="H20" s="4" t="s">
        <v>246</v>
      </c>
      <c r="I20" s="4" t="s">
        <v>295</v>
      </c>
      <c r="J20" s="4" t="s">
        <v>296</v>
      </c>
    </row>
    <row r="21" ht="15.75" customHeight="1">
      <c r="A21" s="4" t="s">
        <v>287</v>
      </c>
      <c r="B21" s="4" t="s">
        <v>298</v>
      </c>
      <c r="C21" s="7">
        <v>1.0</v>
      </c>
      <c r="D21" s="7" t="s">
        <v>270</v>
      </c>
      <c r="E21" s="7">
        <v>6000.0</v>
      </c>
      <c r="F21" s="7">
        <f t="shared" si="1"/>
        <v>6000</v>
      </c>
      <c r="G21" s="7">
        <v>3.0</v>
      </c>
      <c r="H21" s="4" t="s">
        <v>287</v>
      </c>
      <c r="I21" s="4" t="s">
        <v>299</v>
      </c>
      <c r="J21" s="4" t="s">
        <v>300</v>
      </c>
    </row>
    <row r="22" ht="15.75" customHeight="1">
      <c r="A22" s="31" t="s">
        <v>120</v>
      </c>
      <c r="B22" s="31" t="s">
        <v>301</v>
      </c>
      <c r="C22" s="32"/>
      <c r="D22" s="32"/>
      <c r="E22" s="32"/>
      <c r="F22" s="32">
        <f>SUM(F4:F21)</f>
        <v>110172.3875</v>
      </c>
      <c r="G22" s="32"/>
      <c r="H22" s="31"/>
      <c r="I22" s="31"/>
      <c r="J22" s="31"/>
    </row>
    <row r="23" ht="15.75" customHeight="1">
      <c r="A23" s="31" t="s">
        <v>120</v>
      </c>
      <c r="B23" s="31" t="s">
        <v>304</v>
      </c>
      <c r="C23" s="32"/>
      <c r="D23" s="32"/>
      <c r="E23" s="32"/>
      <c r="F23" s="32">
        <f>F22*10%</f>
        <v>11017.23875</v>
      </c>
      <c r="G23" s="32"/>
      <c r="H23" s="31"/>
      <c r="I23" s="31"/>
      <c r="J23" s="31"/>
    </row>
    <row r="24" ht="15.75" customHeight="1">
      <c r="A24" s="31" t="s">
        <v>120</v>
      </c>
      <c r="B24" s="31" t="s">
        <v>29</v>
      </c>
      <c r="C24" s="32"/>
      <c r="D24" s="32"/>
      <c r="E24" s="32"/>
      <c r="F24" s="32">
        <f>SUM(F22:F23)</f>
        <v>121189.6263</v>
      </c>
      <c r="G24" s="32"/>
      <c r="H24" s="31"/>
      <c r="I24" s="31"/>
      <c r="J24" s="3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7" width="16.0"/>
    <col customWidth="1" min="8" max="8" width="52.0"/>
    <col customWidth="1" min="9" max="26" width="8.63"/>
  </cols>
  <sheetData>
    <row r="1" ht="25.5" customHeight="1">
      <c r="A1" s="1" t="s">
        <v>267</v>
      </c>
    </row>
    <row r="2" ht="21.75" customHeight="1">
      <c r="A2" s="2" t="s">
        <v>271</v>
      </c>
    </row>
    <row r="3" ht="30.0" customHeight="1">
      <c r="A3" s="3" t="s">
        <v>8</v>
      </c>
      <c r="B3" s="3" t="s">
        <v>273</v>
      </c>
      <c r="C3" s="30" t="s">
        <v>275</v>
      </c>
      <c r="D3" s="30" t="s">
        <v>277</v>
      </c>
      <c r="E3" s="30" t="s">
        <v>278</v>
      </c>
      <c r="F3" s="30" t="s">
        <v>279</v>
      </c>
      <c r="G3" s="30" t="s">
        <v>280</v>
      </c>
      <c r="H3" s="3" t="s">
        <v>281</v>
      </c>
    </row>
    <row r="4">
      <c r="A4" s="4" t="s">
        <v>284</v>
      </c>
      <c r="B4" s="7">
        <v>12000.0</v>
      </c>
      <c r="C4" s="7">
        <f t="shared" ref="C4:C10" si="1">B4</f>
        <v>12000</v>
      </c>
      <c r="D4" s="7">
        <f>C4*(1+'01 Supuestos'!$C$32)</f>
        <v>12360</v>
      </c>
      <c r="E4" s="7">
        <f>D4*(1+'01 Supuestos'!$C$32)</f>
        <v>12730.8</v>
      </c>
      <c r="F4" s="7">
        <f>E4*(1+'01 Supuestos'!$C$32)</f>
        <v>13112.724</v>
      </c>
      <c r="G4" s="7">
        <f>F4*(1+'01 Supuestos'!$C$32)</f>
        <v>13506.10572</v>
      </c>
      <c r="H4" s="4" t="s">
        <v>297</v>
      </c>
    </row>
    <row r="5">
      <c r="A5" s="4" t="s">
        <v>204</v>
      </c>
      <c r="B5" s="7">
        <f>'03 CAPEX'!$F$22 * '01 Supuestos'!$C$40</f>
        <v>3856.033563</v>
      </c>
      <c r="C5" s="7">
        <f t="shared" si="1"/>
        <v>3856.033563</v>
      </c>
      <c r="D5" s="7">
        <f>C5*(1+'01 Supuestos'!$C$32)</f>
        <v>3971.714569</v>
      </c>
      <c r="E5" s="7">
        <f>D5*(1+'01 Supuestos'!$C$32)</f>
        <v>4090.866006</v>
      </c>
      <c r="F5" s="7">
        <f>E5*(1+'01 Supuestos'!$C$32)</f>
        <v>4213.591987</v>
      </c>
      <c r="G5" s="7">
        <f>F5*(1+'01 Supuestos'!$C$32)</f>
        <v>4339.999746</v>
      </c>
      <c r="H5" s="4" t="s">
        <v>307</v>
      </c>
    </row>
    <row r="6">
      <c r="A6" s="4" t="s">
        <v>309</v>
      </c>
      <c r="B6" s="7">
        <v>2800.0</v>
      </c>
      <c r="C6" s="7">
        <f t="shared" si="1"/>
        <v>2800</v>
      </c>
      <c r="D6" s="7">
        <f>C6*(1+'01 Supuestos'!$C$32)</f>
        <v>2884</v>
      </c>
      <c r="E6" s="7">
        <f>D6*(1+'01 Supuestos'!$C$32)</f>
        <v>2970.52</v>
      </c>
      <c r="F6" s="7">
        <f>E6*(1+'01 Supuestos'!$C$32)</f>
        <v>3059.6356</v>
      </c>
      <c r="G6" s="7">
        <f>F6*(1+'01 Supuestos'!$C$32)</f>
        <v>3151.424668</v>
      </c>
      <c r="H6" s="4" t="s">
        <v>312</v>
      </c>
    </row>
    <row r="7">
      <c r="A7" s="4" t="s">
        <v>313</v>
      </c>
      <c r="B7" s="7">
        <v>3200.0</v>
      </c>
      <c r="C7" s="7">
        <f t="shared" si="1"/>
        <v>3200</v>
      </c>
      <c r="D7" s="7">
        <f>C7*(1+'01 Supuestos'!$C$32)</f>
        <v>3296</v>
      </c>
      <c r="E7" s="7">
        <f>D7*(1+'01 Supuestos'!$C$32)</f>
        <v>3394.88</v>
      </c>
      <c r="F7" s="7">
        <f>E7*(1+'01 Supuestos'!$C$32)</f>
        <v>3496.7264</v>
      </c>
      <c r="G7" s="7">
        <f>F7*(1+'01 Supuestos'!$C$32)</f>
        <v>3601.628192</v>
      </c>
      <c r="H7" s="4" t="s">
        <v>315</v>
      </c>
    </row>
    <row r="8">
      <c r="A8" s="4" t="s">
        <v>316</v>
      </c>
      <c r="B8" s="7">
        <v>3000.0</v>
      </c>
      <c r="C8" s="7">
        <f t="shared" si="1"/>
        <v>3000</v>
      </c>
      <c r="D8" s="7">
        <f>C8*(1+'01 Supuestos'!$C$32)</f>
        <v>3090</v>
      </c>
      <c r="E8" s="7">
        <f>D8*(1+'01 Supuestos'!$C$32)</f>
        <v>3182.7</v>
      </c>
      <c r="F8" s="7">
        <f>E8*(1+'01 Supuestos'!$C$32)</f>
        <v>3278.181</v>
      </c>
      <c r="G8" s="7">
        <f>F8*(1+'01 Supuestos'!$C$32)</f>
        <v>3376.52643</v>
      </c>
      <c r="H8" s="4" t="s">
        <v>318</v>
      </c>
    </row>
    <row r="9">
      <c r="A9" s="4" t="s">
        <v>319</v>
      </c>
      <c r="B9" s="7">
        <v>3600.0</v>
      </c>
      <c r="C9" s="7">
        <f t="shared" si="1"/>
        <v>3600</v>
      </c>
      <c r="D9" s="7">
        <f>C9*(1+'01 Supuestos'!$C$32)</f>
        <v>3708</v>
      </c>
      <c r="E9" s="7">
        <f>D9*(1+'01 Supuestos'!$C$32)</f>
        <v>3819.24</v>
      </c>
      <c r="F9" s="7">
        <f>E9*(1+'01 Supuestos'!$C$32)</f>
        <v>3933.8172</v>
      </c>
      <c r="G9" s="7">
        <f>F9*(1+'01 Supuestos'!$C$32)</f>
        <v>4051.831716</v>
      </c>
      <c r="H9" s="4" t="s">
        <v>320</v>
      </c>
    </row>
    <row r="10">
      <c r="A10" s="4" t="s">
        <v>321</v>
      </c>
      <c r="B10" s="7">
        <v>2500.0</v>
      </c>
      <c r="C10" s="7">
        <f t="shared" si="1"/>
        <v>2500</v>
      </c>
      <c r="D10" s="7">
        <f>C10*(1+'01 Supuestos'!$C$32)</f>
        <v>2575</v>
      </c>
      <c r="E10" s="7">
        <f>D10*(1+'01 Supuestos'!$C$32)</f>
        <v>2652.25</v>
      </c>
      <c r="F10" s="7">
        <f>E10*(1+'01 Supuestos'!$C$32)</f>
        <v>2731.8175</v>
      </c>
      <c r="G10" s="7">
        <f>F10*(1+'01 Supuestos'!$C$32)</f>
        <v>2813.772025</v>
      </c>
      <c r="H10" s="4" t="s">
        <v>322</v>
      </c>
    </row>
    <row r="11">
      <c r="A11" s="31" t="s">
        <v>323</v>
      </c>
      <c r="B11" s="32">
        <f t="shared" ref="B11:G11" si="2">SUM(B4:B10)</f>
        <v>30956.03356</v>
      </c>
      <c r="C11" s="32">
        <f t="shared" si="2"/>
        <v>30956.03356</v>
      </c>
      <c r="D11" s="32">
        <f t="shared" si="2"/>
        <v>31884.71457</v>
      </c>
      <c r="E11" s="32">
        <f t="shared" si="2"/>
        <v>32841.25601</v>
      </c>
      <c r="F11" s="32">
        <f t="shared" si="2"/>
        <v>33826.49369</v>
      </c>
      <c r="G11" s="32">
        <f t="shared" si="2"/>
        <v>34841.2885</v>
      </c>
      <c r="H11" s="3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4" width="20.0"/>
    <col customWidth="1" min="5" max="26" width="8.63"/>
  </cols>
  <sheetData>
    <row r="1" ht="25.5" customHeight="1">
      <c r="A1" s="1" t="s">
        <v>302</v>
      </c>
    </row>
    <row r="2" ht="21.75" customHeight="1">
      <c r="A2" s="2" t="s">
        <v>303</v>
      </c>
    </row>
    <row r="3" ht="30.0" customHeight="1">
      <c r="A3" s="3" t="s">
        <v>231</v>
      </c>
      <c r="B3" s="3" t="s">
        <v>305</v>
      </c>
      <c r="C3" s="3" t="s">
        <v>306</v>
      </c>
      <c r="D3" s="3" t="s">
        <v>308</v>
      </c>
    </row>
    <row r="4">
      <c r="A4" s="4" t="s">
        <v>310</v>
      </c>
      <c r="B4" s="7">
        <f>SUMIF('03 CAPEX'!$G$4:$G$21, 5, '03 CAPEX'!$F$4:$F$21)</f>
        <v>36017.1875</v>
      </c>
      <c r="C4" s="7">
        <v>5.0</v>
      </c>
      <c r="D4" s="7">
        <f t="shared" ref="D4:D6" si="1">B4/C4</f>
        <v>7203.4375</v>
      </c>
    </row>
    <row r="5">
      <c r="A5" s="4" t="s">
        <v>311</v>
      </c>
      <c r="B5" s="7">
        <f>SUMIF('03 CAPEX'!$G$4:$G$21, 10, '03 CAPEX'!$F$4:$F$21)</f>
        <v>65655.2</v>
      </c>
      <c r="C5" s="7">
        <v>10.0</v>
      </c>
      <c r="D5" s="7">
        <f t="shared" si="1"/>
        <v>6565.52</v>
      </c>
    </row>
    <row r="6">
      <c r="A6" s="4" t="s">
        <v>314</v>
      </c>
      <c r="B6" s="7">
        <f>SUMIF('03 CAPEX'!$G$4:$G$21, 3, '03 CAPEX'!$F$4:$F$21)</f>
        <v>8500</v>
      </c>
      <c r="C6" s="7">
        <v>3.0</v>
      </c>
      <c r="D6" s="7">
        <f t="shared" si="1"/>
        <v>2833.333333</v>
      </c>
    </row>
    <row r="7">
      <c r="A7" s="11" t="s">
        <v>317</v>
      </c>
      <c r="B7" s="12">
        <f>SUM(B4:B6)</f>
        <v>110172.3875</v>
      </c>
      <c r="C7" s="12"/>
      <c r="D7" s="12">
        <f>SUM(D4:D6)</f>
        <v>16602.29083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6" width="16.0"/>
    <col customWidth="1" min="7" max="7" width="48.0"/>
    <col customWidth="1" min="8" max="26" width="8.63"/>
  </cols>
  <sheetData>
    <row r="1" ht="25.5" customHeight="1">
      <c r="A1" s="1" t="s">
        <v>324</v>
      </c>
    </row>
    <row r="2" ht="21.75" customHeight="1">
      <c r="A2" s="2" t="s">
        <v>325</v>
      </c>
    </row>
    <row r="3" ht="30.0" customHeight="1">
      <c r="A3" s="3" t="s">
        <v>8</v>
      </c>
      <c r="B3" s="30" t="s">
        <v>275</v>
      </c>
      <c r="C3" s="30" t="s">
        <v>277</v>
      </c>
      <c r="D3" s="30" t="s">
        <v>278</v>
      </c>
      <c r="E3" s="30" t="s">
        <v>279</v>
      </c>
      <c r="F3" s="30" t="s">
        <v>280</v>
      </c>
      <c r="G3" s="3" t="s">
        <v>17</v>
      </c>
    </row>
    <row r="4">
      <c r="A4" s="4" t="s">
        <v>171</v>
      </c>
      <c r="B4" s="7">
        <f>'01 Supuestos'!$C$33</f>
        <v>0</v>
      </c>
      <c r="C4" s="7">
        <f>'01 Supuestos'!$C$33</f>
        <v>0</v>
      </c>
      <c r="D4" s="7">
        <f>'01 Supuestos'!$C$33</f>
        <v>0</v>
      </c>
      <c r="E4" s="7">
        <f>'01 Supuestos'!$C$33</f>
        <v>0</v>
      </c>
      <c r="F4" s="7">
        <f>'01 Supuestos'!$C$33</f>
        <v>0</v>
      </c>
      <c r="G4" s="4" t="s">
        <v>326</v>
      </c>
    </row>
    <row r="5">
      <c r="A5" s="4" t="s">
        <v>327</v>
      </c>
      <c r="B5" s="7">
        <f>'01 Supuestos'!$C$34</f>
        <v>0</v>
      </c>
      <c r="C5" s="7">
        <f>'01 Supuestos'!$C$34</f>
        <v>0</v>
      </c>
      <c r="D5" s="7">
        <f>'01 Supuestos'!$C$34</f>
        <v>0</v>
      </c>
      <c r="E5" s="7">
        <f>'01 Supuestos'!$C$34</f>
        <v>0</v>
      </c>
      <c r="F5" s="7">
        <f>'01 Supuestos'!$C$34</f>
        <v>0</v>
      </c>
      <c r="G5" s="4" t="s">
        <v>328</v>
      </c>
    </row>
    <row r="6">
      <c r="A6" s="4" t="s">
        <v>329</v>
      </c>
      <c r="B6" s="7">
        <f t="shared" ref="B6:F6" si="1">SUM(B4:B5)</f>
        <v>0</v>
      </c>
      <c r="C6" s="7">
        <f t="shared" si="1"/>
        <v>0</v>
      </c>
      <c r="D6" s="7">
        <f t="shared" si="1"/>
        <v>0</v>
      </c>
      <c r="E6" s="7">
        <f t="shared" si="1"/>
        <v>0</v>
      </c>
      <c r="F6" s="7">
        <f t="shared" si="1"/>
        <v>0</v>
      </c>
      <c r="G6" s="4" t="s">
        <v>330</v>
      </c>
    </row>
    <row r="7">
      <c r="A7" s="4" t="s">
        <v>331</v>
      </c>
      <c r="B7" s="7">
        <f>-'04 OPEX'!$C$11</f>
        <v>-30956.03356</v>
      </c>
      <c r="C7" s="7">
        <f>-'04 OPEX'!$D$11</f>
        <v>-31884.71457</v>
      </c>
      <c r="D7" s="7">
        <f>-'04 OPEX'!$E$11</f>
        <v>-32841.25601</v>
      </c>
      <c r="E7" s="7">
        <f>-'04 OPEX'!$F$11</f>
        <v>-33826.49369</v>
      </c>
      <c r="F7" s="7">
        <f>-'04 OPEX'!$G$11</f>
        <v>-34841.2885</v>
      </c>
      <c r="G7" s="4" t="s">
        <v>332</v>
      </c>
    </row>
    <row r="8">
      <c r="A8" s="4" t="s">
        <v>333</v>
      </c>
      <c r="B8" s="7">
        <f t="shared" ref="B8:F8" si="2">SUM(B6:B7)</f>
        <v>-30956.03356</v>
      </c>
      <c r="C8" s="7">
        <f t="shared" si="2"/>
        <v>-31884.71457</v>
      </c>
      <c r="D8" s="7">
        <f t="shared" si="2"/>
        <v>-32841.25601</v>
      </c>
      <c r="E8" s="7">
        <f t="shared" si="2"/>
        <v>-33826.49369</v>
      </c>
      <c r="F8" s="7">
        <f t="shared" si="2"/>
        <v>-34841.2885</v>
      </c>
      <c r="G8" s="4" t="s">
        <v>334</v>
      </c>
    </row>
    <row r="9">
      <c r="A9" s="4" t="s">
        <v>335</v>
      </c>
      <c r="B9" s="7">
        <f>-'05 Depreciacion'!$D$7</f>
        <v>-16602.29083</v>
      </c>
      <c r="C9" s="7">
        <f>-'05 Depreciacion'!$D$7</f>
        <v>-16602.29083</v>
      </c>
      <c r="D9" s="7">
        <f>-'05 Depreciacion'!$D$7</f>
        <v>-16602.29083</v>
      </c>
      <c r="E9" s="7">
        <f>-'05 Depreciacion'!$D$7</f>
        <v>-16602.29083</v>
      </c>
      <c r="F9" s="7">
        <f>-'05 Depreciacion'!$D$7</f>
        <v>-16602.29083</v>
      </c>
      <c r="G9" s="4" t="s">
        <v>336</v>
      </c>
    </row>
    <row r="10">
      <c r="A10" s="4" t="s">
        <v>337</v>
      </c>
      <c r="B10" s="7">
        <f t="shared" ref="B10:F10" si="3">SUM(B8:B9)</f>
        <v>-47558.3244</v>
      </c>
      <c r="C10" s="7">
        <f t="shared" si="3"/>
        <v>-48487.0054</v>
      </c>
      <c r="D10" s="7">
        <f t="shared" si="3"/>
        <v>-49443.54684</v>
      </c>
      <c r="E10" s="7">
        <f t="shared" si="3"/>
        <v>-50428.78452</v>
      </c>
      <c r="F10" s="7">
        <f t="shared" si="3"/>
        <v>-51443.57933</v>
      </c>
      <c r="G10" s="4" t="s">
        <v>338</v>
      </c>
    </row>
    <row r="11">
      <c r="A11" s="4" t="s">
        <v>163</v>
      </c>
      <c r="B11" s="7">
        <f t="shared" ref="B11:F11" si="4">0</f>
        <v>0</v>
      </c>
      <c r="C11" s="7">
        <f t="shared" si="4"/>
        <v>0</v>
      </c>
      <c r="D11" s="7">
        <f t="shared" si="4"/>
        <v>0</v>
      </c>
      <c r="E11" s="7">
        <f t="shared" si="4"/>
        <v>0</v>
      </c>
      <c r="F11" s="7">
        <f t="shared" si="4"/>
        <v>0</v>
      </c>
      <c r="G11" s="4" t="s">
        <v>339</v>
      </c>
    </row>
    <row r="12">
      <c r="A12" s="11" t="s">
        <v>341</v>
      </c>
      <c r="B12" s="12">
        <f t="shared" ref="B12:F12" si="5">SUM(B10:B11)</f>
        <v>-47558.3244</v>
      </c>
      <c r="C12" s="12">
        <f t="shared" si="5"/>
        <v>-48487.0054</v>
      </c>
      <c r="D12" s="12">
        <f t="shared" si="5"/>
        <v>-49443.54684</v>
      </c>
      <c r="E12" s="12">
        <f t="shared" si="5"/>
        <v>-50428.78452</v>
      </c>
      <c r="F12" s="12">
        <f t="shared" si="5"/>
        <v>-51443.57933</v>
      </c>
      <c r="G12" s="11" t="s">
        <v>344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0"/>
    <col customWidth="1" min="2" max="7" width="16.0"/>
    <col customWidth="1" min="8" max="8" width="55.0"/>
    <col customWidth="1" min="9" max="26" width="8.63"/>
  </cols>
  <sheetData>
    <row r="1" ht="25.5" customHeight="1">
      <c r="A1" s="1" t="s">
        <v>340</v>
      </c>
    </row>
    <row r="2" ht="21.75" customHeight="1">
      <c r="A2" s="2" t="s">
        <v>342</v>
      </c>
    </row>
    <row r="3" ht="30.0" customHeight="1">
      <c r="A3" s="3" t="s">
        <v>8</v>
      </c>
      <c r="B3" s="30" t="s">
        <v>343</v>
      </c>
      <c r="C3" s="30" t="s">
        <v>275</v>
      </c>
      <c r="D3" s="30" t="s">
        <v>277</v>
      </c>
      <c r="E3" s="30" t="s">
        <v>278</v>
      </c>
      <c r="F3" s="30" t="s">
        <v>279</v>
      </c>
      <c r="G3" s="30" t="s">
        <v>280</v>
      </c>
      <c r="H3" s="3" t="s">
        <v>17</v>
      </c>
    </row>
    <row r="4">
      <c r="A4" s="4" t="s">
        <v>345</v>
      </c>
      <c r="B4" s="7">
        <f t="shared" ref="B4:B6" si="1">0</f>
        <v>0</v>
      </c>
      <c r="C4" s="7">
        <f>'06 EERR'!$B$4</f>
        <v>0</v>
      </c>
      <c r="D4" s="7">
        <f>'06 EERR'!$C$4</f>
        <v>0</v>
      </c>
      <c r="E4" s="7">
        <f>'06 EERR'!$D$4</f>
        <v>0</v>
      </c>
      <c r="F4" s="7">
        <f>'06 EERR'!$E$4</f>
        <v>0</v>
      </c>
      <c r="G4" s="7">
        <f>'06 EERR'!$F$4</f>
        <v>0</v>
      </c>
      <c r="H4" s="4" t="s">
        <v>346</v>
      </c>
    </row>
    <row r="5">
      <c r="A5" s="4" t="s">
        <v>347</v>
      </c>
      <c r="B5" s="7">
        <f t="shared" si="1"/>
        <v>0</v>
      </c>
      <c r="C5" s="7">
        <f>'06 EERR'!$B$5</f>
        <v>0</v>
      </c>
      <c r="D5" s="7">
        <f>'06 EERR'!$C$5</f>
        <v>0</v>
      </c>
      <c r="E5" s="7">
        <f>'06 EERR'!$D$5</f>
        <v>0</v>
      </c>
      <c r="F5" s="7">
        <f>'06 EERR'!$E$5</f>
        <v>0</v>
      </c>
      <c r="G5" s="7">
        <f>'06 EERR'!$F$5</f>
        <v>0</v>
      </c>
      <c r="H5" s="4" t="s">
        <v>348</v>
      </c>
    </row>
    <row r="6">
      <c r="A6" s="4" t="s">
        <v>349</v>
      </c>
      <c r="B6" s="7">
        <f t="shared" si="1"/>
        <v>0</v>
      </c>
      <c r="C6" s="7">
        <f>-'04 OPEX'!$C$11</f>
        <v>-30956.03356</v>
      </c>
      <c r="D6" s="7">
        <f>-'04 OPEX'!$D$11</f>
        <v>-31884.71457</v>
      </c>
      <c r="E6" s="7">
        <f>-'04 OPEX'!$E$11</f>
        <v>-32841.25601</v>
      </c>
      <c r="F6" s="7">
        <f>-'04 OPEX'!$F$11</f>
        <v>-33826.49369</v>
      </c>
      <c r="G6" s="7">
        <f>-'04 OPEX'!$G$11</f>
        <v>-34841.2885</v>
      </c>
      <c r="H6" s="4" t="s">
        <v>350</v>
      </c>
    </row>
    <row r="7">
      <c r="A7" s="11" t="s">
        <v>351</v>
      </c>
      <c r="B7" s="12">
        <f t="shared" ref="B7:G7" si="2">SUM(B4:B6)</f>
        <v>0</v>
      </c>
      <c r="C7" s="12">
        <f t="shared" si="2"/>
        <v>-30956.03356</v>
      </c>
      <c r="D7" s="12">
        <f t="shared" si="2"/>
        <v>-31884.71457</v>
      </c>
      <c r="E7" s="12">
        <f t="shared" si="2"/>
        <v>-32841.25601</v>
      </c>
      <c r="F7" s="12">
        <f t="shared" si="2"/>
        <v>-33826.49369</v>
      </c>
      <c r="G7" s="12">
        <f t="shared" si="2"/>
        <v>-34841.2885</v>
      </c>
      <c r="H7" s="11" t="s">
        <v>352</v>
      </c>
    </row>
    <row r="8">
      <c r="A8" s="4" t="s">
        <v>354</v>
      </c>
      <c r="B8" s="7">
        <f>-'03 CAPEX'!$F$24</f>
        <v>-121189.6263</v>
      </c>
      <c r="C8" s="7">
        <f t="shared" ref="C8:G8" si="3">0</f>
        <v>0</v>
      </c>
      <c r="D8" s="7">
        <f t="shared" si="3"/>
        <v>0</v>
      </c>
      <c r="E8" s="7">
        <f t="shared" si="3"/>
        <v>0</v>
      </c>
      <c r="F8" s="7">
        <f t="shared" si="3"/>
        <v>0</v>
      </c>
      <c r="G8" s="7">
        <f t="shared" si="3"/>
        <v>0</v>
      </c>
      <c r="H8" s="4" t="s">
        <v>357</v>
      </c>
    </row>
    <row r="9">
      <c r="A9" s="4" t="s">
        <v>358</v>
      </c>
      <c r="B9" s="7">
        <f t="shared" ref="B9:B10" si="4">0</f>
        <v>0</v>
      </c>
      <c r="C9" s="7">
        <f>-'03 CAPEX'!$F$24*'01 Supuestos'!$C$35</f>
        <v>-2423.792525</v>
      </c>
      <c r="D9" s="7">
        <f>-'03 CAPEX'!$F$24*'01 Supuestos'!$C$35</f>
        <v>-2423.792525</v>
      </c>
      <c r="E9" s="7">
        <f>-'03 CAPEX'!$F$24*'01 Supuestos'!$C$35</f>
        <v>-2423.792525</v>
      </c>
      <c r="F9" s="7">
        <f>-'03 CAPEX'!$F$24*'01 Supuestos'!$C$35</f>
        <v>-2423.792525</v>
      </c>
      <c r="G9" s="7">
        <f>-'03 CAPEX'!$F$24*'01 Supuestos'!$C$35</f>
        <v>-2423.792525</v>
      </c>
      <c r="H9" s="4" t="s">
        <v>360</v>
      </c>
    </row>
    <row r="10">
      <c r="A10" s="4" t="s">
        <v>362</v>
      </c>
      <c r="B10" s="7">
        <f t="shared" si="4"/>
        <v>0</v>
      </c>
      <c r="C10" s="7">
        <f>IF(C$2=5, '01 Supuestos'!$C$39, 0)</f>
        <v>0</v>
      </c>
      <c r="D10" s="7">
        <f>IF(D$2=5, '01 Supuestos'!$C$39, 0)</f>
        <v>0</v>
      </c>
      <c r="E10" s="7">
        <f>IF(E$2=5, '01 Supuestos'!$C$39, 0)</f>
        <v>0</v>
      </c>
      <c r="F10" s="7">
        <f>IF(F$2=5, '01 Supuestos'!$C$39, 0)</f>
        <v>0</v>
      </c>
      <c r="G10" s="7">
        <f>IF(G$2=5, '01 Supuestos'!$C$39, 0)</f>
        <v>0</v>
      </c>
      <c r="H10" s="4" t="s">
        <v>370</v>
      </c>
    </row>
    <row r="11">
      <c r="A11" s="11" t="s">
        <v>371</v>
      </c>
      <c r="B11" s="12">
        <f t="shared" ref="B11:G11" si="5">SUM(B8:B10)</f>
        <v>-121189.6263</v>
      </c>
      <c r="C11" s="12">
        <f t="shared" si="5"/>
        <v>-2423.792525</v>
      </c>
      <c r="D11" s="12">
        <f t="shared" si="5"/>
        <v>-2423.792525</v>
      </c>
      <c r="E11" s="12">
        <f t="shared" si="5"/>
        <v>-2423.792525</v>
      </c>
      <c r="F11" s="12">
        <f t="shared" si="5"/>
        <v>-2423.792525</v>
      </c>
      <c r="G11" s="12">
        <f t="shared" si="5"/>
        <v>-2423.792525</v>
      </c>
      <c r="H11" s="11" t="s">
        <v>372</v>
      </c>
    </row>
    <row r="12">
      <c r="A12" s="11" t="s">
        <v>373</v>
      </c>
      <c r="B12" s="12">
        <f t="shared" ref="B12:G12" si="6">SUM(B7,B11)</f>
        <v>-121189.6263</v>
      </c>
      <c r="C12" s="12">
        <f t="shared" si="6"/>
        <v>-33379.82609</v>
      </c>
      <c r="D12" s="12">
        <f t="shared" si="6"/>
        <v>-34308.50709</v>
      </c>
      <c r="E12" s="12">
        <f t="shared" si="6"/>
        <v>-35265.04853</v>
      </c>
      <c r="F12" s="12">
        <f t="shared" si="6"/>
        <v>-36250.28621</v>
      </c>
      <c r="G12" s="12">
        <f t="shared" si="6"/>
        <v>-37265.08102</v>
      </c>
      <c r="H12" s="11" t="s">
        <v>375</v>
      </c>
    </row>
    <row r="13">
      <c r="A13" s="4" t="s">
        <v>376</v>
      </c>
      <c r="B13" s="7">
        <f t="shared" ref="B13:G13" si="7">-MIN(0,B12)</f>
        <v>121189.6263</v>
      </c>
      <c r="C13" s="7">
        <f t="shared" si="7"/>
        <v>33379.82609</v>
      </c>
      <c r="D13" s="7">
        <f t="shared" si="7"/>
        <v>34308.50709</v>
      </c>
      <c r="E13" s="7">
        <f t="shared" si="7"/>
        <v>35265.04853</v>
      </c>
      <c r="F13" s="7">
        <f t="shared" si="7"/>
        <v>36250.28621</v>
      </c>
      <c r="G13" s="7">
        <f t="shared" si="7"/>
        <v>37265.08102</v>
      </c>
      <c r="H13" s="4" t="s">
        <v>384</v>
      </c>
    </row>
    <row r="14">
      <c r="A14" s="4" t="s">
        <v>385</v>
      </c>
      <c r="B14" s="7">
        <f t="shared" ref="B14:G14" si="8">0</f>
        <v>0</v>
      </c>
      <c r="C14" s="7">
        <f t="shared" si="8"/>
        <v>0</v>
      </c>
      <c r="D14" s="7">
        <f t="shared" si="8"/>
        <v>0</v>
      </c>
      <c r="E14" s="7">
        <f t="shared" si="8"/>
        <v>0</v>
      </c>
      <c r="F14" s="7">
        <f t="shared" si="8"/>
        <v>0</v>
      </c>
      <c r="G14" s="7">
        <f t="shared" si="8"/>
        <v>0</v>
      </c>
      <c r="H14" s="4" t="s">
        <v>389</v>
      </c>
    </row>
    <row r="15">
      <c r="A15" s="11" t="s">
        <v>390</v>
      </c>
      <c r="B15" s="12">
        <f t="shared" ref="B15:G15" si="9">SUM(B13:B14)</f>
        <v>121189.6263</v>
      </c>
      <c r="C15" s="12">
        <f t="shared" si="9"/>
        <v>33379.82609</v>
      </c>
      <c r="D15" s="12">
        <f t="shared" si="9"/>
        <v>34308.50709</v>
      </c>
      <c r="E15" s="12">
        <f t="shared" si="9"/>
        <v>35265.04853</v>
      </c>
      <c r="F15" s="12">
        <f t="shared" si="9"/>
        <v>36250.28621</v>
      </c>
      <c r="G15" s="12">
        <f t="shared" si="9"/>
        <v>37265.08102</v>
      </c>
      <c r="H15" s="11" t="s">
        <v>391</v>
      </c>
    </row>
    <row r="16">
      <c r="A16" s="11" t="s">
        <v>392</v>
      </c>
      <c r="B16" s="12">
        <f t="shared" ref="B16:G16" si="10">SUM(B12,B15)</f>
        <v>0</v>
      </c>
      <c r="C16" s="12">
        <f t="shared" si="10"/>
        <v>0</v>
      </c>
      <c r="D16" s="12">
        <f t="shared" si="10"/>
        <v>0</v>
      </c>
      <c r="E16" s="12">
        <f t="shared" si="10"/>
        <v>0</v>
      </c>
      <c r="F16" s="12">
        <f t="shared" si="10"/>
        <v>0</v>
      </c>
      <c r="G16" s="12">
        <f t="shared" si="10"/>
        <v>0</v>
      </c>
      <c r="H16" s="11" t="s">
        <v>393</v>
      </c>
    </row>
    <row r="17">
      <c r="A17" s="4" t="s">
        <v>394</v>
      </c>
      <c r="B17" s="7">
        <f>0</f>
        <v>0</v>
      </c>
      <c r="C17" s="7">
        <f t="shared" ref="C17:G17" si="11">B18</f>
        <v>0</v>
      </c>
      <c r="D17" s="7">
        <f t="shared" si="11"/>
        <v>0</v>
      </c>
      <c r="E17" s="7">
        <f t="shared" si="11"/>
        <v>0</v>
      </c>
      <c r="F17" s="7">
        <f t="shared" si="11"/>
        <v>0</v>
      </c>
      <c r="G17" s="7">
        <f t="shared" si="11"/>
        <v>0</v>
      </c>
      <c r="H17" s="18" t="s">
        <v>396</v>
      </c>
    </row>
    <row r="18">
      <c r="A18" s="11" t="s">
        <v>397</v>
      </c>
      <c r="B18" s="12">
        <f t="shared" ref="B18:G18" si="12">SUM(B16,B17)</f>
        <v>0</v>
      </c>
      <c r="C18" s="12">
        <f t="shared" si="12"/>
        <v>0</v>
      </c>
      <c r="D18" s="12">
        <f t="shared" si="12"/>
        <v>0</v>
      </c>
      <c r="E18" s="12">
        <f t="shared" si="12"/>
        <v>0</v>
      </c>
      <c r="F18" s="12">
        <f t="shared" si="12"/>
        <v>0</v>
      </c>
      <c r="G18" s="12">
        <f t="shared" si="12"/>
        <v>0</v>
      </c>
      <c r="H18" s="11" t="s">
        <v>398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0.0"/>
    <col customWidth="1" min="2" max="2" width="18.0"/>
    <col customWidth="1" min="3" max="3" width="16.0"/>
    <col customWidth="1" min="4" max="4" width="45.0"/>
    <col customWidth="1" min="5" max="7" width="16.0"/>
    <col customWidth="1" min="8" max="26" width="8.63"/>
  </cols>
  <sheetData>
    <row r="1" ht="25.5" customHeight="1">
      <c r="A1" s="1" t="s">
        <v>353</v>
      </c>
      <c r="E1" s="16"/>
      <c r="F1" s="16"/>
      <c r="G1" s="16"/>
    </row>
    <row r="2" ht="21.75" customHeight="1">
      <c r="A2" s="2" t="s">
        <v>355</v>
      </c>
      <c r="E2" s="16"/>
      <c r="F2" s="16"/>
      <c r="G2" s="16"/>
    </row>
    <row r="3" ht="30.0" customHeight="1">
      <c r="A3" s="3" t="s">
        <v>356</v>
      </c>
      <c r="B3" s="3" t="s">
        <v>9</v>
      </c>
      <c r="C3" s="3" t="s">
        <v>11</v>
      </c>
      <c r="D3" s="3" t="s">
        <v>156</v>
      </c>
      <c r="E3" s="16"/>
      <c r="F3" s="16"/>
      <c r="G3" s="16"/>
    </row>
    <row r="4">
      <c r="A4" s="4" t="s">
        <v>158</v>
      </c>
      <c r="B4" s="23">
        <f>'01 Supuestos'!$C$30</f>
        <v>0.15</v>
      </c>
      <c r="C4" s="4" t="s">
        <v>85</v>
      </c>
      <c r="D4" s="4" t="s">
        <v>359</v>
      </c>
      <c r="E4" s="16"/>
      <c r="F4" s="16"/>
      <c r="G4" s="16"/>
    </row>
    <row r="5">
      <c r="A5" s="4" t="s">
        <v>29</v>
      </c>
      <c r="B5" s="7">
        <f>'03 CAPEX'!$F$24</f>
        <v>121189.6263</v>
      </c>
      <c r="C5" s="4" t="s">
        <v>55</v>
      </c>
      <c r="D5" s="4" t="s">
        <v>361</v>
      </c>
      <c r="E5" s="16"/>
      <c r="F5" s="16"/>
      <c r="G5" s="16"/>
    </row>
    <row r="6">
      <c r="A6" s="4" t="s">
        <v>363</v>
      </c>
      <c r="B6" s="7">
        <f>'04 OPEX'!$C$11</f>
        <v>30956.03356</v>
      </c>
      <c r="C6" s="4" t="s">
        <v>55</v>
      </c>
      <c r="D6" s="4" t="s">
        <v>364</v>
      </c>
      <c r="E6" s="16"/>
      <c r="F6" s="16"/>
      <c r="G6" s="16"/>
    </row>
    <row r="7">
      <c r="A7" s="4" t="s">
        <v>365</v>
      </c>
      <c r="B7" s="7">
        <f>'06 EERR'!$B$12</f>
        <v>-47558.3244</v>
      </c>
      <c r="C7" s="4" t="s">
        <v>55</v>
      </c>
      <c r="D7" s="4" t="s">
        <v>366</v>
      </c>
      <c r="E7" s="16"/>
      <c r="F7" s="16"/>
      <c r="G7" s="16"/>
    </row>
    <row r="8">
      <c r="A8" s="4" t="s">
        <v>367</v>
      </c>
      <c r="B8" s="7">
        <f>'07 EFE Cash Flow'!$B$12</f>
        <v>-121189.6263</v>
      </c>
      <c r="C8" s="4" t="s">
        <v>55</v>
      </c>
      <c r="D8" s="4" t="s">
        <v>368</v>
      </c>
      <c r="E8" s="16"/>
      <c r="F8" s="16"/>
      <c r="G8" s="16"/>
    </row>
    <row r="9">
      <c r="A9" s="4" t="s">
        <v>369</v>
      </c>
      <c r="B9" s="7">
        <f>'07 EFE Cash Flow'!$B$12+'07 EFE Cash Flow'!$C$12/(1+$B$4)^1+'07 EFE Cash Flow'!$D$12/(1+$B$4)^2+'07 EFE Cash Flow'!$E$12/(1+$B$4)^3+'07 EFE Cash Flow'!$F$12/(1+$B$4)^4+'07 EFE Cash Flow'!$G$12/(1+$B$4)^5</f>
        <v>-238598.6143</v>
      </c>
      <c r="C9" s="4" t="s">
        <v>55</v>
      </c>
      <c r="D9" s="4" t="s">
        <v>374</v>
      </c>
      <c r="E9" s="16"/>
      <c r="F9" s="16"/>
      <c r="G9" s="16"/>
    </row>
    <row r="10">
      <c r="A10" s="4" t="s">
        <v>377</v>
      </c>
      <c r="B10" s="7" t="s">
        <v>137</v>
      </c>
      <c r="C10" s="4" t="s">
        <v>85</v>
      </c>
      <c r="D10" s="4" t="s">
        <v>378</v>
      </c>
      <c r="E10" s="16"/>
      <c r="F10" s="16"/>
      <c r="G10" s="16"/>
    </row>
    <row r="11">
      <c r="A11" s="4" t="s">
        <v>379</v>
      </c>
      <c r="B11" s="7" t="s">
        <v>380</v>
      </c>
      <c r="C11" s="4" t="s">
        <v>381</v>
      </c>
      <c r="D11" s="4" t="s">
        <v>382</v>
      </c>
      <c r="E11" s="16"/>
      <c r="F11" s="16"/>
      <c r="G11" s="16"/>
    </row>
    <row r="12">
      <c r="A12" s="16" t="s">
        <v>383</v>
      </c>
      <c r="B12" s="17">
        <f>SUM('07 EFE Cash Flow'!$B$13:$G$13)</f>
        <v>297658.3752</v>
      </c>
      <c r="C12" s="16" t="s">
        <v>55</v>
      </c>
      <c r="D12" s="16" t="s">
        <v>386</v>
      </c>
      <c r="E12" s="16"/>
      <c r="F12" s="16"/>
      <c r="G12" s="16"/>
    </row>
    <row r="13">
      <c r="A13" s="16"/>
      <c r="B13" s="16"/>
      <c r="C13" s="16"/>
      <c r="D13" s="16"/>
      <c r="E13" s="16"/>
      <c r="F13" s="16"/>
      <c r="G13" s="16"/>
    </row>
    <row r="14" ht="30.0" customHeight="1">
      <c r="A14" s="3" t="s">
        <v>8</v>
      </c>
      <c r="B14" s="30" t="s">
        <v>343</v>
      </c>
      <c r="C14" s="30" t="s">
        <v>275</v>
      </c>
      <c r="D14" s="30" t="s">
        <v>277</v>
      </c>
      <c r="E14" s="30" t="s">
        <v>278</v>
      </c>
      <c r="F14" s="30" t="s">
        <v>279</v>
      </c>
      <c r="G14" s="30" t="s">
        <v>387</v>
      </c>
    </row>
    <row r="15">
      <c r="A15" s="4" t="s">
        <v>388</v>
      </c>
      <c r="B15" s="7">
        <f>'07 EFE Cash Flow'!$B$12</f>
        <v>-121189.6263</v>
      </c>
      <c r="C15" s="7">
        <f>'07 EFE Cash Flow'!$C$12</f>
        <v>-33379.82609</v>
      </c>
      <c r="D15" s="7">
        <f>'07 EFE Cash Flow'!$D$12</f>
        <v>-34308.50709</v>
      </c>
      <c r="E15" s="7">
        <f>'07 EFE Cash Flow'!$E$12</f>
        <v>-35265.04853</v>
      </c>
      <c r="F15" s="7">
        <f>'07 EFE Cash Flow'!$F$12</f>
        <v>-36250.28621</v>
      </c>
      <c r="G15" s="7">
        <f>'07 EFE Cash Flow'!$G$12</f>
        <v>-37265.08102</v>
      </c>
    </row>
    <row r="16">
      <c r="A16" s="11" t="s">
        <v>395</v>
      </c>
      <c r="B16" s="12">
        <f>B15</f>
        <v>-121189.6263</v>
      </c>
      <c r="C16" s="12">
        <f t="shared" ref="C16:G16" si="1">B16+C15</f>
        <v>-154569.4523</v>
      </c>
      <c r="D16" s="12">
        <f t="shared" si="1"/>
        <v>-188877.9594</v>
      </c>
      <c r="E16" s="12">
        <f t="shared" si="1"/>
        <v>-224143.008</v>
      </c>
      <c r="F16" s="12">
        <f t="shared" si="1"/>
        <v>-260393.2942</v>
      </c>
      <c r="G16" s="12">
        <f t="shared" si="1"/>
        <v>-297658.3752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