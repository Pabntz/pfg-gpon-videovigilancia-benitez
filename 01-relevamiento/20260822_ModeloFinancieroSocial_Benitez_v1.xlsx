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Dashboard" sheetId="1" r:id="rId5"/>
    <sheet state="visible" name="01 Supuestos" sheetId="2" r:id="rId6"/>
    <sheet state="visible" name="02 Beneficios" sheetId="3" r:id="rId7"/>
    <sheet state="visible" name="03 EERR" sheetId="4" r:id="rId8"/>
    <sheet state="visible" name="04 EFE" sheetId="5" r:id="rId9"/>
    <sheet state="visible" name="05 Sensibilidad" sheetId="6" r:id="rId10"/>
    <sheet state="visible" name="07 Fuentes" sheetId="7" r:id="rId11"/>
  </sheets>
  <definedNames/>
  <calcPr/>
</workbook>
</file>

<file path=xl/sharedStrings.xml><?xml version="1.0" encoding="utf-8"?>
<sst xmlns="http://schemas.openxmlformats.org/spreadsheetml/2006/main" count="296" uniqueCount="208">
  <si>
    <t>Supuestos del escenario socioeconomico</t>
  </si>
  <si>
    <t>Estado de Resultados socioeconomico</t>
  </si>
  <si>
    <t>Beneficios sociales monetizados</t>
  </si>
  <si>
    <t>Criterio devengado: reconoce beneficios sociales como ingresos/beneficios economicos</t>
  </si>
  <si>
    <t>Escenario base para transformar la evaluacion estatal en evaluacion socioeconomica</t>
  </si>
  <si>
    <t>Inputs editables para cuantificar beneficios sociales y recuperar la inversion</t>
  </si>
  <si>
    <t>Concepto</t>
  </si>
  <si>
    <t>Año 1</t>
  </si>
  <si>
    <t>Año 2</t>
  </si>
  <si>
    <t>Año 3</t>
  </si>
  <si>
    <t>Categoria</t>
  </si>
  <si>
    <t>Año 4</t>
  </si>
  <si>
    <t>Año 5</t>
  </si>
  <si>
    <t>Variable 1</t>
  </si>
  <si>
    <t>Cantidad</t>
  </si>
  <si>
    <t>Variable 2</t>
  </si>
  <si>
    <t>Valor unitario USD</t>
  </si>
  <si>
    <t>Valor</t>
  </si>
  <si>
    <t>Factor</t>
  </si>
  <si>
    <t>Unidad</t>
  </si>
  <si>
    <t>Beneficio Ano 1 USD</t>
  </si>
  <si>
    <t>Tipo</t>
  </si>
  <si>
    <t>Formula / logica</t>
  </si>
  <si>
    <t>Fuente / criterio</t>
  </si>
  <si>
    <t>Notas</t>
  </si>
  <si>
    <t>Tecnico</t>
  </si>
  <si>
    <t>Cantidad de camaras</t>
  </si>
  <si>
    <t>Prevencion de incidentes</t>
  </si>
  <si>
    <t>Incidentes evitables/año en zonas monitoreadas</t>
  </si>
  <si>
    <t>unid</t>
  </si>
  <si>
    <t>Costo social promedio por incidente</t>
  </si>
  <si>
    <t>Input</t>
  </si>
  <si>
    <t>Tesis GPON / dimensionamiento preliminar</t>
  </si>
  <si>
    <t>Puntos de videovigilancia del modelo base</t>
  </si>
  <si>
    <t>ONT/ONU por camara</t>
  </si>
  <si>
    <t>Criterio tecnico</t>
  </si>
  <si>
    <t>Una terminal por punto de camara</t>
  </si>
  <si>
    <t>Cajas NAP 1x8</t>
  </si>
  <si>
    <t>Topologia preliminar</t>
  </si>
  <si>
    <t>Capacidad total 64 puertos</t>
  </si>
  <si>
    <t>Incidentes * costo social * efecto CCTV</t>
  </si>
  <si>
    <t>OJP + supuesto municipal a validar</t>
  </si>
  <si>
    <t>OLT GPON</t>
  </si>
  <si>
    <t>Incluye delitos menores, vandalismo, perdidas patrimoniales y costos de respuesta</t>
  </si>
  <si>
    <t>Arquitectura GPON</t>
  </si>
  <si>
    <t>OLT compacta de 8 puertos</t>
  </si>
  <si>
    <t>Respuesta temprana</t>
  </si>
  <si>
    <t>Eventos criticos con respuesta mas rapida/año</t>
  </si>
  <si>
    <t>Costo evitado por no escalamiento</t>
  </si>
  <si>
    <t>Fibra total con reserva</t>
  </si>
  <si>
    <t>km</t>
  </si>
  <si>
    <t>Calculo topologico</t>
  </si>
  <si>
    <t>Incluye feeder, distribucion, drops y reserva</t>
  </si>
  <si>
    <t>Eventos * costo evitado</t>
  </si>
  <si>
    <t>Supuesto operativo</t>
  </si>
  <si>
    <t>Menor dano, menor movilizacion y mejor coordinacion de recursos</t>
  </si>
  <si>
    <t>Postes / apoyos estimados</t>
  </si>
  <si>
    <t>Eficiencia investigacion</t>
  </si>
  <si>
    <t>Horas administrativas/policiales evitadas/año</t>
  </si>
  <si>
    <t>Ruta aerea con separacion promedio</t>
  </si>
  <si>
    <t>Costo hora operativo</t>
  </si>
  <si>
    <t>OPEX</t>
  </si>
  <si>
    <t>Horas * costo hora</t>
  </si>
  <si>
    <t>Financiero</t>
  </si>
  <si>
    <t>Evidencia audiovisual reduce tiempo de busqueda y reconstruccion</t>
  </si>
  <si>
    <t>CAPEX inicial</t>
  </si>
  <si>
    <t>USD</t>
  </si>
  <si>
    <t>Modelo financiero previo</t>
  </si>
  <si>
    <t>Inversion inicial total con contingencia 10%</t>
  </si>
  <si>
    <t>Ahorro conectividad</t>
  </si>
  <si>
    <t>Camaras que no requieren enlace comercial</t>
  </si>
  <si>
    <t>OPEX Ano 1</t>
  </si>
  <si>
    <t>Operacion, soporte, energia, canon, licencias y repuestos</t>
  </si>
  <si>
    <t>Costo mensual enlace por camara</t>
  </si>
  <si>
    <t>Camaras * costo mensual * 12</t>
  </si>
  <si>
    <t>Alternativa de leasing ISP</t>
  </si>
  <si>
    <t>Ahorro respecto de contratar enlaces individuales de datos</t>
  </si>
  <si>
    <t>Crecimiento anual OPEX</t>
  </si>
  <si>
    <t>Rentabilidad socioeconomica - Proyecto TESIS GPON</t>
  </si>
  <si>
    <t>Reuso red municipal</t>
  </si>
  <si>
    <t>Dependencias/servicios reutilizando la ODN</t>
  </si>
  <si>
    <t>Valor mensual equivalente por punto</t>
  </si>
  <si>
    <t>%</t>
  </si>
  <si>
    <t>Supuesto conservador</t>
  </si>
  <si>
    <t>Puntos * valor mensual * 12</t>
  </si>
  <si>
    <t>Actualizacion anual en USD constantes</t>
  </si>
  <si>
    <t>Valor sombra de infraestructura</t>
  </si>
  <si>
    <t>La red puede soportar futuro IoT, puntos municipales y servicios de seguridad</t>
  </si>
  <si>
    <t>Escenario original rearmado con beneficios sociales monetizados</t>
  </si>
  <si>
    <t>Reposicion menor anual</t>
  </si>
  <si>
    <t>TOTAL</t>
  </si>
  <si>
    <t>% CAPEX</t>
  </si>
  <si>
    <t>Supuesto tecnico</t>
  </si>
  <si>
    <t>Reposiciones menores por desgaste, vandalismo o fallas</t>
  </si>
  <si>
    <t>Depreciacion anual</t>
  </si>
  <si>
    <t>Vida util tecnica</t>
  </si>
  <si>
    <t>Activos tecnologicos, pasivos ODN y software</t>
  </si>
  <si>
    <t>Indicador</t>
  </si>
  <si>
    <t>EBITDA social</t>
  </si>
  <si>
    <t>Lectura</t>
  </si>
  <si>
    <t>Conclusion para presentacion</t>
  </si>
  <si>
    <t>Tasa de descuento</t>
  </si>
  <si>
    <t>PPT finanzas / costo oportunidad</t>
  </si>
  <si>
    <t>Usada para descontar flujos futuros</t>
  </si>
  <si>
    <t>Impuesto</t>
  </si>
  <si>
    <t>Proyecto estatal</t>
  </si>
  <si>
    <t>No se aplica impuesto en el escenario socioeconomico</t>
  </si>
  <si>
    <t>Social</t>
  </si>
  <si>
    <t>Crecimiento anual beneficios sociales</t>
  </si>
  <si>
    <t>Inversion inicial total del proyecto</t>
  </si>
  <si>
    <t>Consistente con OPEX</t>
  </si>
  <si>
    <t>Escenario base</t>
  </si>
  <si>
    <t>El escenario estatal puro no recupera la inversion porque no carga ingresos directos.
Al monetizar beneficios sociales, el proyecto pasa a ser viable socioeconomicamente.
El beneficio social requerido para VAN = 0 es menor al beneficio base estimado.
La rentabilidad no proviene de vender Internet, sino de seguridad, ahorro operativo y reutilizacion de la red.</t>
  </si>
  <si>
    <t>Efectividad CCTV en reduccion de incidentes</t>
  </si>
  <si>
    <t>Depreciacion</t>
  </si>
  <si>
    <t>OJP / meta-analisis Welsh y Farrington</t>
  </si>
  <si>
    <t>Beneficio social Ano 1</t>
  </si>
  <si>
    <t>Se usa 16% como escenario base sobre incidentes evitables</t>
  </si>
  <si>
    <t>Beneficios monetizados por seguridad, ahorro y reutilizacion</t>
  </si>
  <si>
    <t>Costo de operacion del primer ano</t>
  </si>
  <si>
    <t>Flujo libre Ano 1</t>
  </si>
  <si>
    <t>Beneficio menos OPEX y reposiciones</t>
  </si>
  <si>
    <t>EBIT / resultado operativo social</t>
  </si>
  <si>
    <t>VAN socioeconomico</t>
  </si>
  <si>
    <t>Positivo con tasa de descuento del 15%</t>
  </si>
  <si>
    <t>TIR socioeconomica</t>
  </si>
  <si>
    <t>Retorno implicito del flujo social</t>
  </si>
  <si>
    <t>Payback simple</t>
  </si>
  <si>
    <t>años</t>
  </si>
  <si>
    <t>Recupero estimado de la inversion</t>
  </si>
  <si>
    <t>Necesidad minima beneficio Año 1</t>
  </si>
  <si>
    <t>Punto de equilibrio para VAN = 0</t>
  </si>
  <si>
    <t>Margen sobre equilibrio</t>
  </si>
  <si>
    <t>Diferencia entre beneficios base y minimo requerido</t>
  </si>
  <si>
    <t>Categoria beneficio</t>
  </si>
  <si>
    <t>Año 1 USD</t>
  </si>
  <si>
    <t>Participacion</t>
  </si>
  <si>
    <t>Flujo</t>
  </si>
  <si>
    <t>Año 0</t>
  </si>
  <si>
    <t>Resultado neto social</t>
  </si>
  <si>
    <t>Flujo libre</t>
  </si>
  <si>
    <t>Flujo acumulado</t>
  </si>
  <si>
    <t>Estado de Flujo de Efectivo / Cash Flow socioeconomico</t>
  </si>
  <si>
    <t>Flujo libre antes de financiacion, con beneficios sociales monetizados</t>
  </si>
  <si>
    <t>Beneficios sociales cobrados / valorados</t>
  </si>
  <si>
    <t>Sensibilidad VAN / TIR</t>
  </si>
  <si>
    <t>Cuanto beneficio social anual se necesita para que el proyecto recupere la inversion</t>
  </si>
  <si>
    <t>Formula / criterio</t>
  </si>
  <si>
    <t>Pagos operativos OPEX</t>
  </si>
  <si>
    <t>Auxiliar</t>
  </si>
  <si>
    <t>Beneficio social Ano 1 minimo para VAN = 0</t>
  </si>
  <si>
    <t>Calculado con crecimiento anual de beneficios del 3%</t>
  </si>
  <si>
    <t>Flujo neto operativo</t>
  </si>
  <si>
    <t>PV factor beneficios crecientes</t>
  </si>
  <si>
    <t>Fuentes, notas y advertencias metodologicas</t>
  </si>
  <si>
    <t>CAPEX reposicion menor</t>
  </si>
  <si>
    <t>Usar estas notas para defender la cuantificacion de beneficios sociales</t>
  </si>
  <si>
    <t>Fuente / referencia</t>
  </si>
  <si>
    <t>Uso en el modelo</t>
  </si>
  <si>
    <t>URL / archivo</t>
  </si>
  <si>
    <t>Nota</t>
  </si>
  <si>
    <t>Flujo neto de inversion</t>
  </si>
  <si>
    <t>Beneficio social Ano 1 escenario base</t>
  </si>
  <si>
    <t>Suma de categorias monetizadas</t>
  </si>
  <si>
    <t>Archivo tesis</t>
  </si>
  <si>
    <t>UCP - TESIS GPON.pdf</t>
  </si>
  <si>
    <t>Contexto tecnico: FTTH/GPON, videovigilancia, alcance, PMBOK/Pressman, riesgos</t>
  </si>
  <si>
    <t>Archivo cargado en conversacion</t>
  </si>
  <si>
    <t>Base del proyecto</t>
  </si>
  <si>
    <t>VAN base sin beneficios</t>
  </si>
  <si>
    <t>Archivo finanzas</t>
  </si>
  <si>
    <t>Finanzas de un proyecto.pptx</t>
  </si>
  <si>
    <t>EERR por devengado, EFE/Cash Flow y valor tiempo del dinero</t>
  </si>
  <si>
    <t>Base financiera</t>
  </si>
  <si>
    <t>Flujo libre antes de financiacion</t>
  </si>
  <si>
    <t>Evidencia CCTV</t>
  </si>
  <si>
    <t>Welsh &amp; Farrington / OJP systematic review</t>
  </si>
  <si>
    <t>Sustenta uso de reduccion de incidentes como beneficio social</t>
  </si>
  <si>
    <t>https://ojp.gov/ncjrs/virtual-library/abstracts/public-area-cctv-and-crime-prevention-update-systematic-review-and</t>
  </si>
  <si>
    <t>Meta-analisis reporta disminucion modesta y significativa; se uso 16% como escenario base</t>
  </si>
  <si>
    <t>Evidencia CCTV actualizada</t>
  </si>
  <si>
    <t>Piza, Welsh, Farrington &amp; Thomas / OJP 40-year review</t>
  </si>
  <si>
    <t>Soporte general de impacto de CCTV sobre reduccion de crimen</t>
  </si>
  <si>
    <t>https://www.ojp.gov/library/publications/cctv-surveillance-crime-prevention-40-year-systematic-review-meta-analysis</t>
  </si>
  <si>
    <t>Efectos mayores cuando hay monitoreo activo y objetivos concretos</t>
  </si>
  <si>
    <t>Margen sobre punto de equilibrio</t>
  </si>
  <si>
    <t>Beneficio base / beneficio minimo - 1</t>
  </si>
  <si>
    <t>Supuesto municipal</t>
  </si>
  <si>
    <t>Valores de incidentes, costos y horas</t>
  </si>
  <si>
    <t>Cuantificar beneficios monetizados</t>
  </si>
  <si>
    <t>Debe validarse con municipio, policia o datos historicos</t>
  </si>
  <si>
    <t>Los montos no son cifras oficiales; son supuestos editables para escenario socioeconomico</t>
  </si>
  <si>
    <t>Tasa descuento</t>
  </si>
  <si>
    <t>Beneficio mensual equivalente por camara - equilibrio</t>
  </si>
  <si>
    <t>Beneficio minimo / 48 camaras / 12 meses</t>
  </si>
  <si>
    <t>USD/camara/mes</t>
  </si>
  <si>
    <t>Crecimiento beneficios</t>
  </si>
  <si>
    <t>Beneficio mensual equivalente por camara - base</t>
  </si>
  <si>
    <t>Beneficio base / 48 camaras / 12 meses</t>
  </si>
  <si>
    <t>Camaras</t>
  </si>
  <si>
    <t>Escenario</t>
  </si>
  <si>
    <t>Beneficio Ano 1</t>
  </si>
  <si>
    <t>VAN</t>
  </si>
  <si>
    <t>TIR</t>
  </si>
  <si>
    <t>Equilibrio</t>
  </si>
  <si>
    <t>Conservador</t>
  </si>
  <si>
    <t>Base socioeconomico</t>
  </si>
  <si>
    <t>Alto impacto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</si>
</sst>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;[Red](#,##0.00);-"/>
    <numFmt numFmtId="165" formatCode="$#,##0.00;[Red]($#,##0.00);-"/>
    <numFmt numFmtId="166" formatCode="0.0%;[Red](0.0%);-"/>
    <numFmt numFmtId="167" formatCode="#,##0;[Red](#,##0);-"/>
  </numFmts>
  <fonts count="12">
    <font>
      <sz val="11.0"/>
      <color rgb="FF000000"/>
      <name val="Carlito"/>
      <scheme val="minor"/>
    </font>
    <font>
      <b/>
      <sz val="10.0"/>
      <color rgb="FFFFFFFF"/>
      <name val="Aptos"/>
    </font>
    <font>
      <sz val="10.0"/>
      <color theme="1"/>
      <name val="Aptos"/>
    </font>
    <font>
      <i/>
      <sz val="10.0"/>
      <color rgb="FF334155"/>
      <name val="Aptos"/>
    </font>
    <font>
      <b/>
      <sz val="10.0"/>
      <color rgb="FFFFFFFF"/>
      <name val="Arial"/>
    </font>
    <font>
      <sz val="10.0"/>
      <color rgb="FF0000FF"/>
      <name val="Aptos"/>
    </font>
    <font>
      <sz val="10.0"/>
      <color rgb="FF000000"/>
      <name val="Aptos"/>
    </font>
    <font>
      <b/>
      <sz val="10.0"/>
      <color rgb="FF000000"/>
      <name val="Aptos"/>
    </font>
    <font>
      <b/>
      <sz val="10.0"/>
      <color theme="1"/>
      <name val="Aptos"/>
    </font>
    <font>
      <sz val="10.0"/>
      <color rgb="FF008000"/>
      <name val="Aptos"/>
    </font>
    <font>
      <sz val="10.0"/>
      <color rgb="FF0F172A"/>
      <name val="Aptos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E2E8F0"/>
        <bgColor rgb="FFE2E8F0"/>
      </patternFill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E0F2FE"/>
        <bgColor rgb="FFE0F2FE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horizontal="left" vertical="top"/>
    </xf>
    <xf borderId="0" fillId="4" fontId="1" numFmtId="0" xfId="0" applyAlignment="1" applyFill="1" applyFont="1">
      <alignment horizontal="center" shrinkToFit="0" vertical="top" wrapText="1"/>
    </xf>
    <xf borderId="0" fillId="4" fontId="4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5" numFmtId="164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165" xfId="0" applyAlignment="1" applyFont="1" applyNumberFormat="1">
      <alignment shrinkToFit="0" vertical="top" wrapText="1"/>
    </xf>
    <xf borderId="0" fillId="0" fontId="2" numFmtId="165" xfId="0" applyAlignment="1" applyFont="1" applyNumberFormat="1">
      <alignment shrinkToFit="0" vertical="top" wrapText="1"/>
    </xf>
    <xf borderId="0" fillId="0" fontId="5" numFmtId="166" xfId="0" applyAlignment="1" applyFont="1" applyNumberFormat="1">
      <alignment shrinkToFit="0" vertical="top" wrapText="1"/>
    </xf>
    <xf borderId="0" fillId="0" fontId="6" numFmtId="165" xfId="0" applyAlignment="1" applyFont="1" applyNumberFormat="1">
      <alignment shrinkToFit="0" vertical="top" wrapText="1"/>
    </xf>
    <xf borderId="0" fillId="5" fontId="7" numFmtId="0" xfId="0" applyAlignment="1" applyFill="1" applyFont="1">
      <alignment shrinkToFit="0" vertical="top" wrapText="1"/>
    </xf>
    <xf borderId="0" fillId="4" fontId="1" numFmtId="0" xfId="0" applyAlignment="1" applyFill="1" applyFont="1">
      <alignment horizontal="center" shrinkToFit="0" vertical="top" wrapText="1"/>
    </xf>
    <xf borderId="0" fillId="6" fontId="8" numFmtId="0" xfId="0" applyAlignment="1" applyFill="1" applyFont="1">
      <alignment shrinkToFit="0" vertical="top" wrapText="1"/>
    </xf>
    <xf borderId="0" fillId="4" fontId="1" numFmtId="0" xfId="0" applyAlignment="1" applyFill="1" applyFont="1">
      <alignment horizontal="center" vertical="top"/>
    </xf>
    <xf borderId="0" fillId="5" fontId="7" numFmtId="165" xfId="0" applyAlignment="1" applyFill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6" fontId="8" numFmtId="165" xfId="0" applyAlignment="1" applyFill="1" applyFont="1" applyNumberFormat="1">
      <alignment shrinkToFit="0" vertical="top" wrapText="1"/>
    </xf>
    <xf borderId="0" fillId="0" fontId="9" numFmtId="165" xfId="0" applyAlignment="1" applyFont="1" applyNumberFormat="1">
      <alignment shrinkToFit="0" vertical="top" wrapText="1"/>
    </xf>
    <xf borderId="0" fillId="7" fontId="10" numFmtId="0" xfId="0" applyAlignment="1" applyFill="1" applyFont="1">
      <alignment shrinkToFit="0" vertical="top" wrapText="1"/>
    </xf>
    <xf borderId="0" fillId="0" fontId="9" numFmtId="166" xfId="0" applyAlignment="1" applyFont="1" applyNumberFormat="1">
      <alignment shrinkToFit="0" vertical="top" wrapText="1"/>
    </xf>
    <xf borderId="0" fillId="0" fontId="9" numFmtId="164" xfId="0" applyAlignment="1" applyFont="1" applyNumberFormat="1">
      <alignment shrinkToFit="0" vertical="top" wrapText="1"/>
    </xf>
    <xf borderId="0" fillId="0" fontId="11" numFmtId="0" xfId="0" applyAlignment="1" applyFont="1">
      <alignment readingOrder="0" shrinkToFit="0" vertical="top" wrapText="1"/>
    </xf>
    <xf borderId="0" fillId="4" fontId="4" numFmtId="0" xfId="0" applyAlignment="1" applyFill="1" applyFont="1">
      <alignment horizontal="center" readingOrder="0" shrinkToFit="0" vertical="top" wrapText="1"/>
    </xf>
    <xf borderId="0" fillId="8" fontId="8" numFmtId="0" xfId="0" applyAlignment="1" applyFill="1" applyFont="1">
      <alignment shrinkToFit="0" vertical="top" wrapText="1"/>
    </xf>
    <xf borderId="0" fillId="0" fontId="2" numFmtId="165" xfId="0" applyAlignment="1" applyFont="1" applyNumberFormat="1">
      <alignment shrinkToFit="0" vertical="top" wrapText="1"/>
    </xf>
    <xf borderId="0" fillId="8" fontId="8" numFmtId="165" xfId="0" applyAlignment="1" applyFill="1" applyFont="1" applyNumberFormat="1">
      <alignment shrinkToFit="0" vertical="top" wrapText="1"/>
    </xf>
    <xf borderId="0" fillId="0" fontId="2" numFmtId="166" xfId="0" applyAlignment="1" applyFont="1" applyNumberFormat="1">
      <alignment shrinkToFit="0" vertical="top" wrapText="1"/>
    </xf>
    <xf borderId="0" fillId="0" fontId="2" numFmtId="165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165" xfId="0" applyAlignment="1" applyFont="1" applyNumberFormat="1">
      <alignment vertical="top"/>
    </xf>
    <xf borderId="0" fillId="6" fontId="8" numFmtId="0" xfId="0" applyAlignment="1" applyFill="1" applyFont="1">
      <alignment vertical="top"/>
    </xf>
    <xf borderId="0" fillId="6" fontId="8" numFmtId="165" xfId="0" applyAlignment="1" applyFill="1" applyFont="1" applyNumberFormat="1">
      <alignment vertical="top"/>
    </xf>
    <xf borderId="0" fillId="0" fontId="2" numFmtId="164" xfId="0" applyAlignment="1" applyFont="1" applyNumberFormat="1">
      <alignment vertical="top"/>
    </xf>
    <xf borderId="0" fillId="9" fontId="8" numFmtId="0" xfId="0" applyAlignment="1" applyFill="1" applyFont="1">
      <alignment vertical="top"/>
    </xf>
    <xf borderId="0" fillId="9" fontId="8" numFmtId="165" xfId="0" applyAlignment="1" applyFill="1" applyFont="1" applyNumberFormat="1">
      <alignment vertical="top"/>
    </xf>
    <xf borderId="0" fillId="8" fontId="8" numFmtId="0" xfId="0" applyAlignment="1" applyFill="1" applyFont="1">
      <alignment vertical="top"/>
    </xf>
    <xf borderId="0" fillId="8" fontId="8" numFmtId="165" xfId="0" applyAlignment="1" applyFill="1" applyFont="1" applyNumberFormat="1">
      <alignment vertical="top"/>
    </xf>
    <xf borderId="0" fillId="0" fontId="2" numFmtId="166" xfId="0" applyAlignment="1" applyFont="1" applyNumberFormat="1">
      <alignment vertical="top"/>
    </xf>
    <xf borderId="0" fillId="0" fontId="2" numFmtId="167" xfId="0" applyAlignment="1" applyFont="1" applyNumberFormat="1">
      <alignment vertical="top"/>
    </xf>
    <xf borderId="0" fillId="10" fontId="2" numFmtId="0" xfId="0" applyAlignment="1" applyFill="1" applyFont="1">
      <alignment shrinkToFit="0" vertical="top" wrapText="1"/>
    </xf>
    <xf borderId="0" fillId="10" fontId="2" numFmtId="165" xfId="0" applyAlignment="1" applyFill="1" applyFont="1" applyNumberFormat="1">
      <alignment shrinkToFit="0" vertical="top" wrapText="1"/>
    </xf>
    <xf borderId="0" fillId="10" fontId="2" numFmtId="166" xfId="0" applyAlignment="1" applyFill="1" applyFont="1" applyNumberFormat="1">
      <alignment shrinkToFit="0" vertical="top" wrapText="1"/>
    </xf>
    <xf borderId="0" fillId="10" fontId="2" numFmtId="164" xfId="0" applyAlignment="1" applyFill="1" applyFont="1" applyNumberFormat="1">
      <alignment shrinkToFit="0" vertical="top" wrapText="1"/>
    </xf>
    <xf borderId="0" fillId="0" fontId="2" numFmtId="166" xfId="0" applyAlignment="1" applyFont="1" applyNumberForma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8" fontId="8" numFmtId="166" xfId="0" applyAlignment="1" applyFill="1" applyFont="1" applyNumberFormat="1">
      <alignment shrinkToFit="0" vertical="top" wrapText="1"/>
    </xf>
    <xf borderId="0" fillId="8" fontId="8" numFmtId="164" xfId="0" applyAlignment="1" applyFill="1" applyFont="1" applyNumberForma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6">
    <tableStyle count="3" pivot="0" name="02 Beneficios-style">
      <tableStyleElement dxfId="1" type="headerRow"/>
      <tableStyleElement dxfId="2" type="firstRowStripe"/>
      <tableStyleElement dxfId="3" type="secondRowStripe"/>
    </tableStyle>
    <tableStyle count="3" pivot="0" name="03 EERR-style">
      <tableStyleElement dxfId="1" type="headerRow"/>
      <tableStyleElement dxfId="2" type="firstRowStripe"/>
      <tableStyleElement dxfId="3" type="secondRowStripe"/>
    </tableStyle>
    <tableStyle count="3" pivot="0" name="01 Supuestos-style">
      <tableStyleElement dxfId="1" type="headerRow"/>
      <tableStyleElement dxfId="2" type="firstRowStripe"/>
      <tableStyleElement dxfId="3" type="secondRowStripe"/>
    </tableStyle>
    <tableStyle count="3" pivot="0" name="04 EFE-style">
      <tableStyleElement dxfId="1" type="headerRow"/>
      <tableStyleElement dxfId="2" type="firstRowStripe"/>
      <tableStyleElement dxfId="3" type="secondRowStripe"/>
    </tableStyle>
    <tableStyle count="3" pivot="0" name="05 Sensibilidad-style">
      <tableStyleElement dxfId="1" type="headerRow"/>
      <tableStyleElement dxfId="2" type="firstRowStripe"/>
      <tableStyleElement dxfId="3" type="secondRowStripe"/>
    </tableStyle>
    <tableStyle count="3" pivot="0" name="07 Fuen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Beneficios sociales Año 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Ano 1 USD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'00 Dashboard'!$A$17:$A$21</c:f>
            </c:strRef>
          </c:cat>
          <c:val>
            <c:numRef>
              <c:f>'00 Dashboard'!$B$17:$B$21</c:f>
              <c:numCache/>
            </c:numRef>
          </c:val>
        </c:ser>
        <c:axId val="1567243532"/>
        <c:axId val="1124931375"/>
      </c:barChart>
      <c:catAx>
        <c:axId val="1567243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931375"/>
      </c:catAx>
      <c:valAx>
        <c:axId val="1124931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24353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200025</xdr:rowOff>
    </xdr:from>
    <xdr:ext cx="8963025" cy="3600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19" displayName="Table_1" name="Table_1" id="1">
  <tableColumns count="7">
    <tableColumn name="Categoria" id="1"/>
    <tableColumn name="Concepto" id="2"/>
    <tableColumn name="Valor" id="3"/>
    <tableColumn name="Unidad" id="4"/>
    <tableColumn name="Tipo" id="5"/>
    <tableColumn name="Fuente / criterio" id="6"/>
    <tableColumn name="Notas" id="7"/>
  </tableColumns>
  <tableStyleInfo name="01 Supuestos-style" showColumnStripes="0" showFirstColumn="1" showLastColumn="1" showRowStripes="1"/>
</table>
</file>

<file path=xl/tables/table2.xml><?xml version="1.0" encoding="utf-8"?>
<table xmlns="http://schemas.openxmlformats.org/spreadsheetml/2006/main" ref="A4:J10" displayName="Table_3" name="Table_3" id="3">
  <tableColumns count="10">
    <tableColumn name="Categoria" id="1"/>
    <tableColumn name="Variable 1" id="2"/>
    <tableColumn name="Cantidad" id="3"/>
    <tableColumn name="Variable 2" id="4"/>
    <tableColumn name="Valor unitario USD" id="5"/>
    <tableColumn name="Factor" id="6"/>
    <tableColumn name="Beneficio Ano 1 USD" id="7"/>
    <tableColumn name="Formula / logica" id="8"/>
    <tableColumn name="Fuente / criterio" id="9"/>
    <tableColumn name="Notas" id="10"/>
  </tableColumns>
  <tableStyleInfo name="02 Beneficios-style" showColumnStripes="0" showFirstColumn="1" showLastColumn="1" showRowStripes="1"/>
</table>
</file>

<file path=xl/tables/table3.xml><?xml version="1.0" encoding="utf-8"?>
<table xmlns="http://schemas.openxmlformats.org/spreadsheetml/2006/main" ref="A4:F11" displayName="Table_2" name="Table_2" id="2">
  <tableColumns count="6">
    <tableColumn name="Concepto" id="1"/>
    <tableColumn name="Año 1" id="2"/>
    <tableColumn name="Año 2" id="3"/>
    <tableColumn name="Año 3" id="4"/>
    <tableColumn name="Año 4" id="5"/>
    <tableColumn name="Año 5" id="6"/>
  </tableColumns>
  <tableStyleInfo name="03 EERR-style" showColumnStripes="0" showFirstColumn="1" showLastColumn="1" showRowStripes="1"/>
</table>
</file>

<file path=xl/tables/table4.xml><?xml version="1.0" encoding="utf-8"?>
<table xmlns="http://schemas.openxmlformats.org/spreadsheetml/2006/main" ref="A4:G12" displayName="Table_4" name="Table_4" id="4">
  <tableColumns count="7">
    <tableColumn name="Concepto" id="1"/>
    <tableColumn name="Año 0" id="2"/>
    <tableColumn name="Año 1" id="3"/>
    <tableColumn name="Año 2" id="4"/>
    <tableColumn name="Año 3" id="5"/>
    <tableColumn name="Año 4" id="6"/>
    <tableColumn name="Año 5" id="7"/>
  </tableColumns>
  <tableStyleInfo name="04 EFE-style" showColumnStripes="0" showFirstColumn="1" showLastColumn="1" showRowStripes="1"/>
</table>
</file>

<file path=xl/tables/table5.xml><?xml version="1.0" encoding="utf-8"?>
<table xmlns="http://schemas.openxmlformats.org/spreadsheetml/2006/main" ref="A12:K16" displayName="Table_5" name="Table_5" id="5">
  <tableColumns count="11">
    <tableColumn name="Escenario" id="1"/>
    <tableColumn name="Beneficio Ano 1" id="2"/>
    <tableColumn name="Año 0" id="3"/>
    <tableColumn name="Año 1" id="4"/>
    <tableColumn name="Año 2" id="5"/>
    <tableColumn name="Año 3" id="6"/>
    <tableColumn name="Año 4" id="7"/>
    <tableColumn name="Año 5" id="8"/>
    <tableColumn name="VAN" id="9"/>
    <tableColumn name="TIR" id="10"/>
    <tableColumn name="Payback simple" id="11"/>
  </tableColumns>
  <tableStyleInfo name="05 Sensibilidad-style" showColumnStripes="0" showFirstColumn="1" showLastColumn="1" showRowStripes="1"/>
</table>
</file>

<file path=xl/tables/table6.xml><?xml version="1.0" encoding="utf-8"?>
<table xmlns="http://schemas.openxmlformats.org/spreadsheetml/2006/main" ref="A4:E10" displayName="Table_6" name="Table_6" id="6">
  <tableColumns count="5">
    <tableColumn name="Tipo" id="1"/>
    <tableColumn name="Fuente / referencia" id="2"/>
    <tableColumn name="Uso en el modelo" id="3"/>
    <tableColumn name="URL / archivo" id="4"/>
    <tableColumn name="Nota" id="5"/>
  </tableColumns>
  <tableStyleInfo name="07 Fu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18.0"/>
    <col customWidth="1" min="3" max="3" width="12.0"/>
    <col customWidth="1" min="4" max="4" width="45.0"/>
    <col customWidth="1" min="5" max="5" width="8.63"/>
    <col customWidth="1" min="6" max="12" width="14.0"/>
    <col customWidth="1" min="13" max="26" width="8.63"/>
  </cols>
  <sheetData>
    <row r="1" ht="27.75" customHeight="1">
      <c r="A1" s="1" t="s">
        <v>78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88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97</v>
      </c>
      <c r="B4" s="14" t="s">
        <v>17</v>
      </c>
      <c r="C4" s="14" t="s">
        <v>19</v>
      </c>
      <c r="D4" s="14" t="s">
        <v>99</v>
      </c>
      <c r="E4" s="2"/>
      <c r="F4" s="16" t="s">
        <v>100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8" t="s">
        <v>65</v>
      </c>
      <c r="B5" s="20">
        <f>'01 Supuestos'!C11</f>
        <v>120730.72</v>
      </c>
      <c r="C5" s="18" t="s">
        <v>66</v>
      </c>
      <c r="D5" s="18" t="s">
        <v>109</v>
      </c>
      <c r="E5" s="2"/>
      <c r="F5" s="21" t="s">
        <v>112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 t="s">
        <v>116</v>
      </c>
      <c r="B6" s="20">
        <f>'02 Beneficios'!G10</f>
        <v>93360</v>
      </c>
      <c r="C6" s="18" t="s">
        <v>66</v>
      </c>
      <c r="D6" s="18" t="s">
        <v>118</v>
      </c>
      <c r="E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71</v>
      </c>
      <c r="B7" s="20">
        <f>-'03 EERR'!B6</f>
        <v>31325.5752</v>
      </c>
      <c r="C7" s="18" t="s">
        <v>66</v>
      </c>
      <c r="D7" s="18" t="s">
        <v>119</v>
      </c>
      <c r="E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 t="s">
        <v>120</v>
      </c>
      <c r="B8" s="20">
        <f>'04 EFE'!C11</f>
        <v>59619.8104</v>
      </c>
      <c r="C8" s="18" t="s">
        <v>66</v>
      </c>
      <c r="D8" s="18" t="s">
        <v>121</v>
      </c>
      <c r="E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123</v>
      </c>
      <c r="B9" s="20">
        <f>'05 Sensibilidad'!I15</f>
        <v>90175.19642</v>
      </c>
      <c r="C9" s="18" t="s">
        <v>66</v>
      </c>
      <c r="D9" s="18" t="s">
        <v>124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 t="s">
        <v>125</v>
      </c>
      <c r="B10" s="22">
        <f>'05 Sensibilidad'!J15</f>
        <v>0.4280678507</v>
      </c>
      <c r="C10" s="18" t="s">
        <v>82</v>
      </c>
      <c r="D10" s="18" t="s">
        <v>126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 t="s">
        <v>127</v>
      </c>
      <c r="B11" s="23">
        <f>'05 Sensibilidad'!K15</f>
        <v>1.993982946</v>
      </c>
      <c r="C11" s="24" t="s">
        <v>128</v>
      </c>
      <c r="D11" s="18" t="s">
        <v>129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4" t="s">
        <v>130</v>
      </c>
      <c r="B12" s="20">
        <f>'05 Sensibilidad'!C5</f>
        <v>67816.78338</v>
      </c>
      <c r="C12" s="18" t="s">
        <v>66</v>
      </c>
      <c r="D12" s="18" t="s">
        <v>131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 t="s">
        <v>132</v>
      </c>
      <c r="B13" s="22">
        <f>'05 Sensibilidad'!C7</f>
        <v>0.3766503709</v>
      </c>
      <c r="C13" s="18" t="s">
        <v>82</v>
      </c>
      <c r="D13" s="18" t="s">
        <v>133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 t="s">
        <v>134</v>
      </c>
      <c r="B16" s="25" t="s">
        <v>135</v>
      </c>
      <c r="C16" s="14" t="s">
        <v>136</v>
      </c>
      <c r="D16" s="2"/>
      <c r="E16" s="2"/>
      <c r="F16" s="14" t="s">
        <v>137</v>
      </c>
      <c r="G16" s="25" t="s">
        <v>138</v>
      </c>
      <c r="H16" s="25" t="s">
        <v>7</v>
      </c>
      <c r="I16" s="25" t="s">
        <v>8</v>
      </c>
      <c r="J16" s="25" t="s">
        <v>9</v>
      </c>
      <c r="K16" s="25" t="s">
        <v>11</v>
      </c>
      <c r="L16" s="25" t="s">
        <v>12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 t="str">
        <f>'02 Beneficios'!A5</f>
        <v>Prevencion de incidentes</v>
      </c>
      <c r="B17" s="27">
        <f>'02 Beneficios'!G5</f>
        <v>46240</v>
      </c>
      <c r="C17" s="29">
        <f t="shared" ref="C17:C21" si="1">B17/SUM($B$17:$B$21)</f>
        <v>0.4952870608</v>
      </c>
      <c r="D17" s="2"/>
      <c r="E17" s="2"/>
      <c r="F17" s="2" t="s">
        <v>140</v>
      </c>
      <c r="G17" s="30">
        <f>'04 EFE'!B11</f>
        <v>-120730.72</v>
      </c>
      <c r="H17" s="30">
        <f>'04 EFE'!C11</f>
        <v>59619.8104</v>
      </c>
      <c r="I17" s="30">
        <f>'04 EFE'!D11</f>
        <v>61480.84314</v>
      </c>
      <c r="J17" s="30">
        <f>'04 EFE'!E11</f>
        <v>63397.70687</v>
      </c>
      <c r="K17" s="30">
        <f>'04 EFE'!F11</f>
        <v>65372.07651</v>
      </c>
      <c r="L17" s="30">
        <f>'04 EFE'!G11</f>
        <v>67405.67724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 t="str">
        <f>'02 Beneficios'!A6</f>
        <v>Respuesta temprana</v>
      </c>
      <c r="B18" s="27">
        <f>'02 Beneficios'!G6</f>
        <v>12800</v>
      </c>
      <c r="C18" s="29">
        <f t="shared" si="1"/>
        <v>0.1371036847</v>
      </c>
      <c r="D18" s="2"/>
      <c r="E18" s="2"/>
      <c r="F18" s="2" t="s">
        <v>141</v>
      </c>
      <c r="G18" s="30">
        <f>'04 EFE'!B12</f>
        <v>-120730.72</v>
      </c>
      <c r="H18" s="30">
        <f>'04 EFE'!C12</f>
        <v>-61110.9096</v>
      </c>
      <c r="I18" s="30">
        <f>'04 EFE'!D12</f>
        <v>369.933544</v>
      </c>
      <c r="J18" s="30">
        <f>'04 EFE'!E12</f>
        <v>63767.64041</v>
      </c>
      <c r="K18" s="30">
        <f>'04 EFE'!F12</f>
        <v>129139.7169</v>
      </c>
      <c r="L18" s="30">
        <f>'04 EFE'!G12</f>
        <v>196545.3942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 t="str">
        <f>'02 Beneficios'!A7</f>
        <v>Eficiencia investigacion</v>
      </c>
      <c r="B19" s="27">
        <f>'02 Beneficios'!G7</f>
        <v>6240</v>
      </c>
      <c r="C19" s="29">
        <f t="shared" si="1"/>
        <v>0.06683804627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8" t="str">
        <f>'02 Beneficios'!A8</f>
        <v>Ahorro conectividad</v>
      </c>
      <c r="B20" s="27">
        <f>'02 Beneficios'!G8</f>
        <v>20160</v>
      </c>
      <c r="C20" s="29">
        <f t="shared" si="1"/>
        <v>0.2159383033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8" t="str">
        <f>'02 Beneficios'!A9</f>
        <v>Reuso red municipal</v>
      </c>
      <c r="B21" s="27">
        <f>'02 Beneficios'!G9</f>
        <v>7920</v>
      </c>
      <c r="C21" s="29">
        <f t="shared" si="1"/>
        <v>0.08483290488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F4:H4"/>
    <mergeCell ref="F5:H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2.0"/>
    <col customWidth="1" min="3" max="3" width="14.0"/>
    <col customWidth="1" min="4" max="5" width="12.0"/>
    <col customWidth="1" min="6" max="6" width="34.0"/>
    <col customWidth="1" min="7" max="7" width="42.0"/>
    <col customWidth="1" min="8" max="26" width="8.63"/>
  </cols>
  <sheetData>
    <row r="1" ht="27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10</v>
      </c>
      <c r="B4" s="4" t="s">
        <v>6</v>
      </c>
      <c r="C4" s="4" t="s">
        <v>17</v>
      </c>
      <c r="D4" s="4" t="s">
        <v>19</v>
      </c>
      <c r="E4" s="4" t="s">
        <v>21</v>
      </c>
      <c r="F4" s="4" t="s">
        <v>23</v>
      </c>
      <c r="G4" s="4" t="s">
        <v>24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25</v>
      </c>
      <c r="B5" s="6" t="s">
        <v>26</v>
      </c>
      <c r="C5" s="7">
        <v>48.0</v>
      </c>
      <c r="D5" s="6" t="s">
        <v>29</v>
      </c>
      <c r="E5" s="6" t="s">
        <v>31</v>
      </c>
      <c r="F5" s="6" t="s">
        <v>32</v>
      </c>
      <c r="G5" s="6" t="s">
        <v>33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25</v>
      </c>
      <c r="B6" s="6" t="s">
        <v>34</v>
      </c>
      <c r="C6" s="7">
        <v>1.0</v>
      </c>
      <c r="D6" s="6" t="s">
        <v>29</v>
      </c>
      <c r="E6" s="6" t="s">
        <v>31</v>
      </c>
      <c r="F6" s="6" t="s">
        <v>35</v>
      </c>
      <c r="G6" s="6" t="s">
        <v>36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25</v>
      </c>
      <c r="B7" s="6" t="s">
        <v>37</v>
      </c>
      <c r="C7" s="7">
        <v>8.0</v>
      </c>
      <c r="D7" s="6" t="s">
        <v>29</v>
      </c>
      <c r="E7" s="6" t="s">
        <v>31</v>
      </c>
      <c r="F7" s="6" t="s">
        <v>38</v>
      </c>
      <c r="G7" s="6" t="s">
        <v>39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25</v>
      </c>
      <c r="B8" s="6" t="s">
        <v>42</v>
      </c>
      <c r="C8" s="7">
        <v>1.0</v>
      </c>
      <c r="D8" s="6" t="s">
        <v>29</v>
      </c>
      <c r="E8" s="6" t="s">
        <v>31</v>
      </c>
      <c r="F8" s="6" t="s">
        <v>44</v>
      </c>
      <c r="G8" s="6" t="s">
        <v>45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25</v>
      </c>
      <c r="B9" s="6" t="s">
        <v>49</v>
      </c>
      <c r="C9" s="7">
        <v>29.716</v>
      </c>
      <c r="D9" s="6" t="s">
        <v>50</v>
      </c>
      <c r="E9" s="6" t="s">
        <v>31</v>
      </c>
      <c r="F9" s="6" t="s">
        <v>51</v>
      </c>
      <c r="G9" s="6" t="s">
        <v>52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25</v>
      </c>
      <c r="B10" s="6" t="s">
        <v>56</v>
      </c>
      <c r="C10" s="7">
        <v>593.0</v>
      </c>
      <c r="D10" s="6" t="s">
        <v>29</v>
      </c>
      <c r="E10" s="6" t="s">
        <v>31</v>
      </c>
      <c r="F10" s="6" t="s">
        <v>51</v>
      </c>
      <c r="G10" s="6" t="s">
        <v>59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63</v>
      </c>
      <c r="B11" s="6" t="s">
        <v>65</v>
      </c>
      <c r="C11" s="7">
        <v>120730.72</v>
      </c>
      <c r="D11" s="6" t="s">
        <v>66</v>
      </c>
      <c r="E11" s="6" t="s">
        <v>31</v>
      </c>
      <c r="F11" s="6" t="s">
        <v>67</v>
      </c>
      <c r="G11" s="6" t="s">
        <v>68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63</v>
      </c>
      <c r="B12" s="6" t="s">
        <v>71</v>
      </c>
      <c r="C12" s="7">
        <v>31325.5752</v>
      </c>
      <c r="D12" s="6" t="s">
        <v>66</v>
      </c>
      <c r="E12" s="6" t="s">
        <v>31</v>
      </c>
      <c r="F12" s="6" t="s">
        <v>67</v>
      </c>
      <c r="G12" s="6" t="s">
        <v>72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63</v>
      </c>
      <c r="B13" s="6" t="s">
        <v>77</v>
      </c>
      <c r="C13" s="11">
        <v>0.03</v>
      </c>
      <c r="D13" s="6" t="s">
        <v>82</v>
      </c>
      <c r="E13" s="6" t="s">
        <v>31</v>
      </c>
      <c r="F13" s="6" t="s">
        <v>83</v>
      </c>
      <c r="G13" s="6" t="s">
        <v>85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63</v>
      </c>
      <c r="B14" s="6" t="s">
        <v>89</v>
      </c>
      <c r="C14" s="11">
        <v>0.02</v>
      </c>
      <c r="D14" s="6" t="s">
        <v>91</v>
      </c>
      <c r="E14" s="6" t="s">
        <v>31</v>
      </c>
      <c r="F14" s="6" t="s">
        <v>92</v>
      </c>
      <c r="G14" s="6" t="s">
        <v>93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63</v>
      </c>
      <c r="B15" s="6" t="s">
        <v>94</v>
      </c>
      <c r="C15" s="11">
        <v>12560.853333333334</v>
      </c>
      <c r="D15" s="6" t="s">
        <v>66</v>
      </c>
      <c r="E15" s="6" t="s">
        <v>31</v>
      </c>
      <c r="F15" s="6" t="s">
        <v>95</v>
      </c>
      <c r="G15" s="6" t="s">
        <v>96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63</v>
      </c>
      <c r="B16" s="6" t="s">
        <v>101</v>
      </c>
      <c r="C16" s="11">
        <v>0.15</v>
      </c>
      <c r="D16" s="6" t="s">
        <v>82</v>
      </c>
      <c r="E16" s="6" t="s">
        <v>31</v>
      </c>
      <c r="F16" s="6" t="s">
        <v>102</v>
      </c>
      <c r="G16" s="6" t="s">
        <v>103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63</v>
      </c>
      <c r="B17" s="6" t="s">
        <v>104</v>
      </c>
      <c r="C17" s="7">
        <v>0.0</v>
      </c>
      <c r="D17" s="6" t="s">
        <v>82</v>
      </c>
      <c r="E17" s="6" t="s">
        <v>31</v>
      </c>
      <c r="F17" s="6" t="s">
        <v>105</v>
      </c>
      <c r="G17" s="6" t="s">
        <v>106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107</v>
      </c>
      <c r="B18" s="6" t="s">
        <v>108</v>
      </c>
      <c r="C18" s="11">
        <v>0.03</v>
      </c>
      <c r="D18" s="6" t="s">
        <v>82</v>
      </c>
      <c r="E18" s="6" t="s">
        <v>31</v>
      </c>
      <c r="F18" s="6" t="s">
        <v>110</v>
      </c>
      <c r="G18" s="6" t="s">
        <v>111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107</v>
      </c>
      <c r="B19" s="6" t="s">
        <v>113</v>
      </c>
      <c r="C19" s="11">
        <v>0.16</v>
      </c>
      <c r="D19" s="6" t="s">
        <v>82</v>
      </c>
      <c r="E19" s="6" t="s">
        <v>31</v>
      </c>
      <c r="F19" s="6" t="s">
        <v>115</v>
      </c>
      <c r="G19" s="6" t="s">
        <v>117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2.0"/>
    <col customWidth="1" min="3" max="3" width="14.0"/>
    <col customWidth="1" min="4" max="4" width="30.0"/>
    <col customWidth="1" min="5" max="5" width="16.0"/>
    <col customWidth="1" min="6" max="6" width="12.0"/>
    <col customWidth="1" min="7" max="7" width="18.0"/>
    <col customWidth="1" min="8" max="9" width="28.0"/>
    <col customWidth="1" min="10" max="10" width="46.0"/>
    <col customWidth="1" min="11" max="26" width="8.63"/>
  </cols>
  <sheetData>
    <row r="1" ht="27.75" customHeight="1">
      <c r="A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10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18</v>
      </c>
      <c r="G4" s="4" t="s">
        <v>20</v>
      </c>
      <c r="H4" s="4" t="s">
        <v>22</v>
      </c>
      <c r="I4" s="4" t="s">
        <v>23</v>
      </c>
      <c r="J4" s="4" t="s">
        <v>24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27</v>
      </c>
      <c r="B5" s="6" t="s">
        <v>28</v>
      </c>
      <c r="C5" s="7">
        <v>170.0</v>
      </c>
      <c r="D5" s="8" t="s">
        <v>30</v>
      </c>
      <c r="E5" s="9">
        <v>1700.0</v>
      </c>
      <c r="F5" s="11">
        <f>'01 Supuestos'!C19</f>
        <v>0.16</v>
      </c>
      <c r="G5" s="12">
        <f t="shared" ref="G5:G9" si="1">C5*E5*F5</f>
        <v>46240</v>
      </c>
      <c r="H5" s="6" t="s">
        <v>40</v>
      </c>
      <c r="I5" s="6" t="s">
        <v>41</v>
      </c>
      <c r="J5" s="6" t="s">
        <v>43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46</v>
      </c>
      <c r="B6" s="6" t="s">
        <v>47</v>
      </c>
      <c r="C6" s="7">
        <v>40.0</v>
      </c>
      <c r="D6" s="8" t="s">
        <v>48</v>
      </c>
      <c r="E6" s="9">
        <v>320.0</v>
      </c>
      <c r="F6" s="7">
        <v>1.0</v>
      </c>
      <c r="G6" s="12">
        <f t="shared" si="1"/>
        <v>12800</v>
      </c>
      <c r="H6" s="6" t="s">
        <v>53</v>
      </c>
      <c r="I6" s="6" t="s">
        <v>54</v>
      </c>
      <c r="J6" s="6" t="s">
        <v>55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57</v>
      </c>
      <c r="B7" s="6" t="s">
        <v>58</v>
      </c>
      <c r="C7" s="7">
        <v>520.0</v>
      </c>
      <c r="D7" s="8" t="s">
        <v>60</v>
      </c>
      <c r="E7" s="9">
        <v>12.0</v>
      </c>
      <c r="F7" s="7">
        <v>1.0</v>
      </c>
      <c r="G7" s="12">
        <f t="shared" si="1"/>
        <v>6240</v>
      </c>
      <c r="H7" s="6" t="s">
        <v>62</v>
      </c>
      <c r="I7" s="6" t="s">
        <v>54</v>
      </c>
      <c r="J7" s="6" t="s">
        <v>64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69</v>
      </c>
      <c r="B8" s="6" t="s">
        <v>70</v>
      </c>
      <c r="C8" s="7">
        <f>'01 Supuestos'!C5</f>
        <v>48</v>
      </c>
      <c r="D8" s="8" t="s">
        <v>73</v>
      </c>
      <c r="E8" s="9">
        <v>35.0</v>
      </c>
      <c r="F8" s="7">
        <v>12.0</v>
      </c>
      <c r="G8" s="12">
        <f t="shared" si="1"/>
        <v>20160</v>
      </c>
      <c r="H8" s="6" t="s">
        <v>74</v>
      </c>
      <c r="I8" s="6" t="s">
        <v>75</v>
      </c>
      <c r="J8" s="6" t="s">
        <v>76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79</v>
      </c>
      <c r="B9" s="6" t="s">
        <v>80</v>
      </c>
      <c r="C9" s="7">
        <v>12.0</v>
      </c>
      <c r="D9" s="8" t="s">
        <v>81</v>
      </c>
      <c r="E9" s="9">
        <v>55.0</v>
      </c>
      <c r="F9" s="7">
        <v>12.0</v>
      </c>
      <c r="G9" s="12">
        <f t="shared" si="1"/>
        <v>7920</v>
      </c>
      <c r="H9" s="6" t="s">
        <v>84</v>
      </c>
      <c r="I9" s="6" t="s">
        <v>86</v>
      </c>
      <c r="J9" s="6" t="s">
        <v>87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90</v>
      </c>
      <c r="B10" s="13"/>
      <c r="C10" s="13"/>
      <c r="D10" s="13"/>
      <c r="E10" s="13"/>
      <c r="F10" s="13"/>
      <c r="G10" s="17">
        <f>SUM(G5:G9)</f>
        <v>93360</v>
      </c>
      <c r="H10" s="13"/>
      <c r="I10" s="13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6" width="15.0"/>
    <col customWidth="1" min="7" max="26" width="8.63"/>
  </cols>
  <sheetData>
    <row r="1" ht="27.75" customHeight="1">
      <c r="A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6</v>
      </c>
      <c r="B4" s="5" t="s">
        <v>7</v>
      </c>
      <c r="C4" s="5" t="s">
        <v>8</v>
      </c>
      <c r="D4" s="5" t="s">
        <v>9</v>
      </c>
      <c r="E4" s="5" t="s">
        <v>11</v>
      </c>
      <c r="F4" s="5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</v>
      </c>
      <c r="B5" s="10">
        <f>'02 Beneficios'!G10</f>
        <v>93360</v>
      </c>
      <c r="C5" s="10">
        <f>B5*(1+'01 Supuestos'!$C$18)</f>
        <v>96160.8</v>
      </c>
      <c r="D5" s="10">
        <f>C5*(1+'01 Supuestos'!$C$18)</f>
        <v>99045.624</v>
      </c>
      <c r="E5" s="10">
        <f>D5*(1+'01 Supuestos'!$C$18)</f>
        <v>102016.9927</v>
      </c>
      <c r="F5" s="10">
        <f>E5*(1+'01 Supuestos'!$C$18)</f>
        <v>105077.5025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61</v>
      </c>
      <c r="B6" s="10">
        <f>-'01 Supuestos'!$C$12</f>
        <v>-31325.5752</v>
      </c>
      <c r="C6" s="10">
        <f>B6*(1+'01 Supuestos'!$C$13)</f>
        <v>-32265.34246</v>
      </c>
      <c r="D6" s="10">
        <f>C6*(1+'01 Supuestos'!$C$13)</f>
        <v>-33233.30273</v>
      </c>
      <c r="E6" s="10">
        <f>D6*(1+'01 Supuestos'!$C$13)</f>
        <v>-34230.30181</v>
      </c>
      <c r="F6" s="10">
        <f>E6*(1+'01 Supuestos'!$C$13)</f>
        <v>-35257.21087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98</v>
      </c>
      <c r="B7" s="19">
        <f t="shared" ref="B7:F7" si="1">B5+B6</f>
        <v>62034.4248</v>
      </c>
      <c r="C7" s="19">
        <f t="shared" si="1"/>
        <v>63895.45754</v>
      </c>
      <c r="D7" s="19">
        <f t="shared" si="1"/>
        <v>65812.32127</v>
      </c>
      <c r="E7" s="19">
        <f t="shared" si="1"/>
        <v>67786.69091</v>
      </c>
      <c r="F7" s="19">
        <f t="shared" si="1"/>
        <v>69820.29164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114</v>
      </c>
      <c r="B8" s="10">
        <f>-'01 Supuestos'!$C$15</f>
        <v>-12560.85333</v>
      </c>
      <c r="C8" s="10">
        <f>-'01 Supuestos'!$C$15</f>
        <v>-12560.85333</v>
      </c>
      <c r="D8" s="10">
        <f>-'01 Supuestos'!$C$15</f>
        <v>-12560.85333</v>
      </c>
      <c r="E8" s="10">
        <f>-'01 Supuestos'!$C$15</f>
        <v>-12560.85333</v>
      </c>
      <c r="F8" s="10">
        <f>-'01 Supuestos'!$C$15</f>
        <v>-12560.85333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122</v>
      </c>
      <c r="B9" s="10">
        <f t="shared" ref="B9:F9" si="2">B7+B8</f>
        <v>49473.57147</v>
      </c>
      <c r="C9" s="10">
        <f t="shared" si="2"/>
        <v>51334.60421</v>
      </c>
      <c r="D9" s="10">
        <f t="shared" si="2"/>
        <v>53251.46794</v>
      </c>
      <c r="E9" s="10">
        <f t="shared" si="2"/>
        <v>55225.83758</v>
      </c>
      <c r="F9" s="10">
        <f t="shared" si="2"/>
        <v>57259.4383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104</v>
      </c>
      <c r="B10" s="10">
        <f>IF(B9&gt;0,-B9*'01 Supuestos'!$C$17,0)</f>
        <v>0</v>
      </c>
      <c r="C10" s="10">
        <f>IF(C9&gt;0,-C9*'01 Supuestos'!$C$17,0)</f>
        <v>0</v>
      </c>
      <c r="D10" s="10">
        <f>IF(D9&gt;0,-D9*'01 Supuestos'!$C$17,0)</f>
        <v>0</v>
      </c>
      <c r="E10" s="10">
        <f>IF(E9&gt;0,-E9*'01 Supuestos'!$C$17,0)</f>
        <v>0</v>
      </c>
      <c r="F10" s="10">
        <f>IF(F9&gt;0,-F9*'01 Supuestos'!$C$17,0)</f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6" t="s">
        <v>139</v>
      </c>
      <c r="B11" s="28">
        <f t="shared" ref="B11:F11" si="3">B9+B10</f>
        <v>49473.57147</v>
      </c>
      <c r="C11" s="28">
        <f t="shared" si="3"/>
        <v>51334.60421</v>
      </c>
      <c r="D11" s="28">
        <f t="shared" si="3"/>
        <v>53251.46794</v>
      </c>
      <c r="E11" s="28">
        <f t="shared" si="3"/>
        <v>55225.83758</v>
      </c>
      <c r="F11" s="28">
        <f t="shared" si="3"/>
        <v>57259.4383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7" width="15.0"/>
    <col customWidth="1" min="8" max="26" width="8.63"/>
  </cols>
  <sheetData>
    <row r="1" ht="27.75" customHeight="1">
      <c r="A1" s="1" t="s">
        <v>142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143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6</v>
      </c>
      <c r="B4" s="5" t="s">
        <v>138</v>
      </c>
      <c r="C4" s="5" t="s">
        <v>7</v>
      </c>
      <c r="D4" s="5" t="s">
        <v>8</v>
      </c>
      <c r="E4" s="5" t="s">
        <v>9</v>
      </c>
      <c r="F4" s="5" t="s">
        <v>11</v>
      </c>
      <c r="G4" s="5" t="s">
        <v>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1" t="s">
        <v>144</v>
      </c>
      <c r="B5" s="32">
        <v>0.0</v>
      </c>
      <c r="C5" s="32">
        <f>'03 EERR'!B5</f>
        <v>93360</v>
      </c>
      <c r="D5" s="32">
        <f>'03 EERR'!C5</f>
        <v>96160.8</v>
      </c>
      <c r="E5" s="32">
        <f>'03 EERR'!D5</f>
        <v>99045.624</v>
      </c>
      <c r="F5" s="32">
        <f>'03 EERR'!E5</f>
        <v>102016.9927</v>
      </c>
      <c r="G5" s="32">
        <f>'03 EERR'!F5</f>
        <v>105077.5025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1" t="s">
        <v>148</v>
      </c>
      <c r="B6" s="32">
        <v>0.0</v>
      </c>
      <c r="C6" s="32">
        <f>'03 EERR'!B6</f>
        <v>-31325.5752</v>
      </c>
      <c r="D6" s="32">
        <f>'03 EERR'!C6</f>
        <v>-32265.34246</v>
      </c>
      <c r="E6" s="32">
        <f>'03 EERR'!D6</f>
        <v>-33233.30273</v>
      </c>
      <c r="F6" s="32">
        <f>'03 EERR'!E6</f>
        <v>-34230.30181</v>
      </c>
      <c r="G6" s="32">
        <f>'03 EERR'!F6</f>
        <v>-35257.21087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3" t="s">
        <v>152</v>
      </c>
      <c r="B7" s="34">
        <v>0.0</v>
      </c>
      <c r="C7" s="34">
        <f t="shared" ref="C7:G7" si="1">C5+C6</f>
        <v>62034.4248</v>
      </c>
      <c r="D7" s="34">
        <f t="shared" si="1"/>
        <v>63895.45754</v>
      </c>
      <c r="E7" s="34">
        <f t="shared" si="1"/>
        <v>65812.32127</v>
      </c>
      <c r="F7" s="34">
        <f t="shared" si="1"/>
        <v>67786.69091</v>
      </c>
      <c r="G7" s="34">
        <f t="shared" si="1"/>
        <v>69820.29164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1" t="s">
        <v>65</v>
      </c>
      <c r="B8" s="32">
        <f>-'01 Supuestos'!$C$11</f>
        <v>-120730.72</v>
      </c>
      <c r="C8" s="32">
        <v>0.0</v>
      </c>
      <c r="D8" s="32">
        <v>0.0</v>
      </c>
      <c r="E8" s="32">
        <v>0.0</v>
      </c>
      <c r="F8" s="32">
        <v>0.0</v>
      </c>
      <c r="G8" s="32">
        <v>0.0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1" t="s">
        <v>155</v>
      </c>
      <c r="B9" s="32">
        <v>0.0</v>
      </c>
      <c r="C9" s="32">
        <f>-'01 Supuestos'!$C$11*'01 Supuestos'!$C$14</f>
        <v>-2414.6144</v>
      </c>
      <c r="D9" s="32">
        <f>-'01 Supuestos'!$C$11*'01 Supuestos'!$C$14</f>
        <v>-2414.6144</v>
      </c>
      <c r="E9" s="32">
        <f>-'01 Supuestos'!$C$11*'01 Supuestos'!$C$14</f>
        <v>-2414.6144</v>
      </c>
      <c r="F9" s="32">
        <f>-'01 Supuestos'!$C$11*'01 Supuestos'!$C$14</f>
        <v>-2414.6144</v>
      </c>
      <c r="G9" s="32">
        <f>-'01 Supuestos'!$C$11*'01 Supuestos'!$C$14</f>
        <v>-2414.6144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6" t="s">
        <v>161</v>
      </c>
      <c r="B10" s="37">
        <f t="shared" ref="B10:G10" si="2">B8+B9</f>
        <v>-120730.72</v>
      </c>
      <c r="C10" s="37">
        <f t="shared" si="2"/>
        <v>-2414.6144</v>
      </c>
      <c r="D10" s="37">
        <f t="shared" si="2"/>
        <v>-2414.6144</v>
      </c>
      <c r="E10" s="37">
        <f t="shared" si="2"/>
        <v>-2414.6144</v>
      </c>
      <c r="F10" s="37">
        <f t="shared" si="2"/>
        <v>-2414.6144</v>
      </c>
      <c r="G10" s="37">
        <f t="shared" si="2"/>
        <v>-2414.6144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8" t="s">
        <v>174</v>
      </c>
      <c r="B11" s="39">
        <f t="shared" ref="B11:G11" si="3">B7+B10</f>
        <v>-120730.72</v>
      </c>
      <c r="C11" s="39">
        <f t="shared" si="3"/>
        <v>59619.8104</v>
      </c>
      <c r="D11" s="39">
        <f t="shared" si="3"/>
        <v>61480.84314</v>
      </c>
      <c r="E11" s="39">
        <f t="shared" si="3"/>
        <v>63397.70687</v>
      </c>
      <c r="F11" s="39">
        <f t="shared" si="3"/>
        <v>65372.07651</v>
      </c>
      <c r="G11" s="39">
        <f t="shared" si="3"/>
        <v>67405.67724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8" t="s">
        <v>141</v>
      </c>
      <c r="B12" s="39">
        <f>B11</f>
        <v>-120730.72</v>
      </c>
      <c r="C12" s="39">
        <f t="shared" ref="C12:G12" si="4">B12+C11</f>
        <v>-61110.9096</v>
      </c>
      <c r="D12" s="39">
        <f t="shared" si="4"/>
        <v>369.933544</v>
      </c>
      <c r="E12" s="39">
        <f t="shared" si="4"/>
        <v>63767.64041</v>
      </c>
      <c r="F12" s="39">
        <f t="shared" si="4"/>
        <v>129139.7169</v>
      </c>
      <c r="G12" s="39">
        <f t="shared" si="4"/>
        <v>196545.3942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8.0"/>
    <col customWidth="1" min="3" max="8" width="14.0"/>
    <col customWidth="1" min="9" max="9" width="16.0"/>
    <col customWidth="1" min="10" max="10" width="12.0"/>
    <col customWidth="1" min="11" max="11" width="15.0"/>
    <col customWidth="1" min="12" max="26" width="8.63"/>
  </cols>
  <sheetData>
    <row r="1" ht="27.75" customHeight="1">
      <c r="A1" s="1" t="s">
        <v>145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146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97</v>
      </c>
      <c r="B4" s="14" t="s">
        <v>147</v>
      </c>
      <c r="C4" s="14" t="s">
        <v>17</v>
      </c>
      <c r="D4" s="14" t="s">
        <v>19</v>
      </c>
      <c r="E4" s="2"/>
      <c r="F4" s="14" t="s">
        <v>149</v>
      </c>
      <c r="G4" s="14" t="s">
        <v>17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150</v>
      </c>
      <c r="B5" s="2" t="s">
        <v>151</v>
      </c>
      <c r="C5" s="30">
        <f>-G6/G5</f>
        <v>67816.78338</v>
      </c>
      <c r="D5" s="2" t="s">
        <v>66</v>
      </c>
      <c r="E5" s="2"/>
      <c r="F5" s="2" t="s">
        <v>153</v>
      </c>
      <c r="G5" s="35">
        <f>SUM(1/(1+'01 Supuestos'!$C$16),(1+'01 Supuestos'!$C$18)/(1+'01 Supuestos'!$C$16)^2,(1+'01 Supuestos'!$C$18)^2/(1+'01 Supuestos'!$C$16)^3,(1+'01 Supuestos'!$C$18)^3/(1+'01 Supuestos'!$C$16)^4,(1+'01 Supuestos'!$C$18)^4/(1+'01 Supuestos'!$C$16)^5)</f>
        <v>3.53029917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162</v>
      </c>
      <c r="B6" s="2" t="s">
        <v>163</v>
      </c>
      <c r="C6" s="30">
        <f>'02 Beneficios'!G10</f>
        <v>93360</v>
      </c>
      <c r="D6" s="2" t="s">
        <v>66</v>
      </c>
      <c r="E6" s="2"/>
      <c r="F6" s="2" t="s">
        <v>169</v>
      </c>
      <c r="G6" s="35">
        <f t="array" ref="G6">'04 EFE'!B11+NPV('01 Supuestos'!$C$16,'04 EFE'!C6+'04 EFE'!C9,'04 EFE'!D6+'04 EFE'!D9,'04 EFE'!E6+'04 EFE'!E9,'04 EFE'!F6+'04 EFE'!F9,'04 EFE'!G6+'04 EFE'!G9)</f>
        <v>-239413.5341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185</v>
      </c>
      <c r="B7" s="2" t="s">
        <v>186</v>
      </c>
      <c r="C7" s="40">
        <f>C6/C5-1</f>
        <v>0.3766503709</v>
      </c>
      <c r="D7" s="2" t="s">
        <v>82</v>
      </c>
      <c r="E7" s="2"/>
      <c r="F7" s="2" t="s">
        <v>192</v>
      </c>
      <c r="G7" s="40">
        <f>'01 Supuestos'!$C$16</f>
        <v>0.15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193</v>
      </c>
      <c r="B8" s="2" t="s">
        <v>194</v>
      </c>
      <c r="C8" s="30">
        <f>C5/G9/12</f>
        <v>117.7374712</v>
      </c>
      <c r="D8" s="2" t="s">
        <v>195</v>
      </c>
      <c r="E8" s="2"/>
      <c r="F8" s="2" t="s">
        <v>196</v>
      </c>
      <c r="G8" s="40">
        <f>'01 Supuestos'!$C$18</f>
        <v>0.03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197</v>
      </c>
      <c r="B9" s="2" t="s">
        <v>198</v>
      </c>
      <c r="C9" s="30">
        <f>C6/G9/12</f>
        <v>162.0833333</v>
      </c>
      <c r="D9" s="2" t="s">
        <v>195</v>
      </c>
      <c r="E9" s="2"/>
      <c r="F9" s="2" t="s">
        <v>199</v>
      </c>
      <c r="G9" s="41">
        <f>'01 Supuestos'!$C$5</f>
        <v>48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200</v>
      </c>
      <c r="B12" s="4" t="s">
        <v>201</v>
      </c>
      <c r="C12" s="5" t="s">
        <v>138</v>
      </c>
      <c r="D12" s="5" t="s">
        <v>7</v>
      </c>
      <c r="E12" s="5" t="s">
        <v>8</v>
      </c>
      <c r="F12" s="5" t="s">
        <v>9</v>
      </c>
      <c r="G12" s="5" t="s">
        <v>11</v>
      </c>
      <c r="H12" s="5" t="s">
        <v>12</v>
      </c>
      <c r="I12" s="4" t="s">
        <v>202</v>
      </c>
      <c r="J12" s="4" t="s">
        <v>203</v>
      </c>
      <c r="K12" s="4" t="s">
        <v>127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2" t="s">
        <v>204</v>
      </c>
      <c r="B13" s="43">
        <f>$C$5</f>
        <v>67816.78338</v>
      </c>
      <c r="C13" s="43">
        <f>-'01 Supuestos'!$C$11</f>
        <v>-120730.72</v>
      </c>
      <c r="D13" s="43">
        <f>$B13*(1+'01 Supuestos'!$C$18)^0-'01 Supuestos'!$C$12*(1+'01 Supuestos'!$C$13)^0-'01 Supuestos'!$C$11*'01 Supuestos'!$C$14</f>
        <v>34076.59378</v>
      </c>
      <c r="E13" s="43">
        <f>$B13*(1+'01 Supuestos'!$C$18)^1-'01 Supuestos'!$C$12*(1+'01 Supuestos'!$C$13)^1-'01 Supuestos'!$C$11*'01 Supuestos'!$C$14</f>
        <v>35171.33003</v>
      </c>
      <c r="F13" s="43">
        <f>$B13*(1+'01 Supuestos'!$C$18)^2-'01 Supuestos'!$C$12*(1+'01 Supuestos'!$C$13)^2-'01 Supuestos'!$C$11*'01 Supuestos'!$C$14</f>
        <v>36298.90836</v>
      </c>
      <c r="G13" s="43">
        <f>$B13*(1+'01 Supuestos'!$C$18)^3-'01 Supuestos'!$C$12*(1+'01 Supuestos'!$C$13)^3-'01 Supuestos'!$C$11*'01 Supuestos'!$C$14</f>
        <v>37460.31405</v>
      </c>
      <c r="H13" s="43">
        <f>$B13*(1+'01 Supuestos'!$C$18)^4-'01 Supuestos'!$C$12*(1+'01 Supuestos'!$C$13)^4-'01 Supuestos'!$C$11*'01 Supuestos'!$C$14</f>
        <v>38656.5619</v>
      </c>
      <c r="I13" s="43">
        <f t="array" ref="I13">C13+NPV('01 Supuestos'!$C$16,D13:H13)</f>
        <v>0</v>
      </c>
      <c r="J13" s="44">
        <f t="shared" ref="J13:J16" si="1">IRR(C13:H13)</f>
        <v>0.15</v>
      </c>
      <c r="K13" s="45">
        <v>3.4053326356654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205</v>
      </c>
      <c r="B14" s="9">
        <v>70000.0</v>
      </c>
      <c r="C14" s="10">
        <f>-'01 Supuestos'!$C$11</f>
        <v>-120730.72</v>
      </c>
      <c r="D14" s="10">
        <f>$B14*(1+'01 Supuestos'!$C$18)^0-'01 Supuestos'!$C$12*(1+'01 Supuestos'!$C$13)^0-'01 Supuestos'!$C$11*'01 Supuestos'!$C$14</f>
        <v>36259.8104</v>
      </c>
      <c r="E14" s="10">
        <f>$B14*(1+'01 Supuestos'!$C$18)^1-'01 Supuestos'!$C$12*(1+'01 Supuestos'!$C$13)^1-'01 Supuestos'!$C$11*'01 Supuestos'!$C$14</f>
        <v>37420.04314</v>
      </c>
      <c r="F14" s="10">
        <f>$B14*(1+'01 Supuestos'!$C$18)^2-'01 Supuestos'!$C$12*(1+'01 Supuestos'!$C$13)^2-'01 Supuestos'!$C$11*'01 Supuestos'!$C$14</f>
        <v>38615.08287</v>
      </c>
      <c r="G14" s="10">
        <f>$B14*(1+'01 Supuestos'!$C$18)^3-'01 Supuestos'!$C$12*(1+'01 Supuestos'!$C$13)^3-'01 Supuestos'!$C$11*'01 Supuestos'!$C$14</f>
        <v>39845.97379</v>
      </c>
      <c r="H14" s="10">
        <f>$B14*(1+'01 Supuestos'!$C$18)^4-'01 Supuestos'!$C$12*(1+'01 Supuestos'!$C$13)^4-'01 Supuestos'!$C$11*'01 Supuestos'!$C$14</f>
        <v>41113.79143</v>
      </c>
      <c r="I14" s="10">
        <f t="array" ref="I14">C14+NPV('01 Supuestos'!$C$16,D14:H14)</f>
        <v>7707.407809</v>
      </c>
      <c r="J14" s="46">
        <f t="shared" si="1"/>
        <v>0.1760538104</v>
      </c>
      <c r="K14" s="47">
        <v>3.211709811146078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6" t="s">
        <v>206</v>
      </c>
      <c r="B15" s="28">
        <f>$C$6</f>
        <v>93360</v>
      </c>
      <c r="C15" s="28">
        <f>-'01 Supuestos'!$C$11</f>
        <v>-120730.72</v>
      </c>
      <c r="D15" s="28">
        <f>$B15*(1+'01 Supuestos'!$C$18)^0-'01 Supuestos'!$C$12*(1+'01 Supuestos'!$C$13)^0-'01 Supuestos'!$C$11*'01 Supuestos'!$C$14</f>
        <v>59619.8104</v>
      </c>
      <c r="E15" s="28">
        <f>$B15*(1+'01 Supuestos'!$C$18)^1-'01 Supuestos'!$C$12*(1+'01 Supuestos'!$C$13)^1-'01 Supuestos'!$C$11*'01 Supuestos'!$C$14</f>
        <v>61480.84314</v>
      </c>
      <c r="F15" s="28">
        <f>$B15*(1+'01 Supuestos'!$C$18)^2-'01 Supuestos'!$C$12*(1+'01 Supuestos'!$C$13)^2-'01 Supuestos'!$C$11*'01 Supuestos'!$C$14</f>
        <v>63397.70687</v>
      </c>
      <c r="G15" s="28">
        <f>$B15*(1+'01 Supuestos'!$C$18)^3-'01 Supuestos'!$C$12*(1+'01 Supuestos'!$C$13)^3-'01 Supuestos'!$C$11*'01 Supuestos'!$C$14</f>
        <v>65372.07651</v>
      </c>
      <c r="H15" s="28">
        <f>$B15*(1+'01 Supuestos'!$C$18)^4-'01 Supuestos'!$C$12*(1+'01 Supuestos'!$C$13)^4-'01 Supuestos'!$C$11*'01 Supuestos'!$C$14</f>
        <v>67405.67724</v>
      </c>
      <c r="I15" s="28">
        <f t="array" ref="I15">C15+NPV('01 Supuestos'!$C$16,D15:H15)</f>
        <v>90175.19642</v>
      </c>
      <c r="J15" s="48">
        <f t="shared" si="1"/>
        <v>0.4280678507</v>
      </c>
      <c r="K15" s="49">
        <v>1.9939829461490377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207</v>
      </c>
      <c r="B16" s="9">
        <v>115000.0</v>
      </c>
      <c r="C16" s="10">
        <f>-'01 Supuestos'!$C$11</f>
        <v>-120730.72</v>
      </c>
      <c r="D16" s="10">
        <f>$B16*(1+'01 Supuestos'!$C$18)^0-'01 Supuestos'!$C$12*(1+'01 Supuestos'!$C$13)^0-'01 Supuestos'!$C$11*'01 Supuestos'!$C$14</f>
        <v>81259.8104</v>
      </c>
      <c r="E16" s="10">
        <f>$B16*(1+'01 Supuestos'!$C$18)^1-'01 Supuestos'!$C$12*(1+'01 Supuestos'!$C$13)^1-'01 Supuestos'!$C$11*'01 Supuestos'!$C$14</f>
        <v>83770.04314</v>
      </c>
      <c r="F16" s="10">
        <f>$B16*(1+'01 Supuestos'!$C$18)^2-'01 Supuestos'!$C$12*(1+'01 Supuestos'!$C$13)^2-'01 Supuestos'!$C$11*'01 Supuestos'!$C$14</f>
        <v>86355.58287</v>
      </c>
      <c r="G16" s="10">
        <f>$B16*(1+'01 Supuestos'!$C$18)^3-'01 Supuestos'!$C$12*(1+'01 Supuestos'!$C$13)^3-'01 Supuestos'!$C$11*'01 Supuestos'!$C$14</f>
        <v>89018.68879</v>
      </c>
      <c r="H16" s="10">
        <f>$B16*(1+'01 Supuestos'!$C$18)^4-'01 Supuestos'!$C$12*(1+'01 Supuestos'!$C$13)^4-'01 Supuestos'!$C$11*'01 Supuestos'!$C$14</f>
        <v>91761.68788</v>
      </c>
      <c r="I16" s="10">
        <f t="array" ref="I16">C16+NPV('01 Supuestos'!$C$16,D16:H16)</f>
        <v>166570.8705</v>
      </c>
      <c r="J16" s="46">
        <f t="shared" si="1"/>
        <v>0.6373547203</v>
      </c>
      <c r="K16" s="47">
        <v>1.4711816792567463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4.0"/>
    <col customWidth="1" min="3" max="3" width="42.0"/>
    <col customWidth="1" min="4" max="4" width="60.0"/>
    <col customWidth="1" min="5" max="5" width="58.0"/>
    <col customWidth="1" min="6" max="26" width="8.63"/>
  </cols>
  <sheetData>
    <row r="1" ht="27.75" customHeight="1">
      <c r="A1" s="1" t="s">
        <v>154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156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21</v>
      </c>
      <c r="B4" s="4" t="s">
        <v>157</v>
      </c>
      <c r="C4" s="4" t="s">
        <v>158</v>
      </c>
      <c r="D4" s="4" t="s">
        <v>159</v>
      </c>
      <c r="E4" s="4" t="s">
        <v>160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164</v>
      </c>
      <c r="B5" s="6" t="s">
        <v>165</v>
      </c>
      <c r="C5" s="6" t="s">
        <v>166</v>
      </c>
      <c r="D5" s="6" t="s">
        <v>167</v>
      </c>
      <c r="E5" s="6" t="s">
        <v>168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170</v>
      </c>
      <c r="B6" s="6" t="s">
        <v>171</v>
      </c>
      <c r="C6" s="6" t="s">
        <v>172</v>
      </c>
      <c r="D6" s="6" t="s">
        <v>167</v>
      </c>
      <c r="E6" s="6" t="s">
        <v>173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175</v>
      </c>
      <c r="B7" s="6" t="s">
        <v>176</v>
      </c>
      <c r="C7" s="6" t="s">
        <v>177</v>
      </c>
      <c r="D7" s="6" t="s">
        <v>178</v>
      </c>
      <c r="E7" s="6" t="s">
        <v>179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180</v>
      </c>
      <c r="B8" s="6" t="s">
        <v>181</v>
      </c>
      <c r="C8" s="6" t="s">
        <v>182</v>
      </c>
      <c r="D8" s="6" t="s">
        <v>183</v>
      </c>
      <c r="E8" s="6" t="s">
        <v>184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187</v>
      </c>
      <c r="B9" s="6" t="s">
        <v>188</v>
      </c>
      <c r="C9" s="6" t="s">
        <v>189</v>
      </c>
      <c r="D9" s="6" t="s">
        <v>190</v>
      </c>
      <c r="E9" s="6" t="s">
        <v>191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6"/>
      <c r="C10" s="6"/>
      <c r="D10" s="6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